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san.celik\Desktop\excel\HasHüs Ortak\"/>
    </mc:Choice>
  </mc:AlternateContent>
  <xr:revisionPtr revIDLastSave="0" documentId="13_ncr:1_{681E68A4-620F-43E4-A648-DCAC95A799CC}" xr6:coauthVersionLast="47" xr6:coauthVersionMax="47" xr10:uidLastSave="{00000000-0000-0000-0000-000000000000}"/>
  <bookViews>
    <workbookView xWindow="-300" yWindow="-21735" windowWidth="38640" windowHeight="21120" xr2:uid="{11C831B1-D9D9-426C-B438-AB5CAD05C466}"/>
  </bookViews>
  <sheets>
    <sheet name="Sheet1" sheetId="1" r:id="rId1"/>
  </sheets>
  <definedNames>
    <definedName name="_xlnm._FilterDatabase" localSheetId="0" hidden="1">Sheet1!$A$3:$B$6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7" i="1" l="1"/>
  <c r="N39" i="1"/>
  <c r="N34" i="1" s="1"/>
  <c r="M35" i="1"/>
  <c r="M34" i="1"/>
  <c r="N29" i="1"/>
  <c r="O29" i="1" s="1"/>
  <c r="P8" i="1"/>
  <c r="P5" i="1"/>
  <c r="P4" i="1"/>
  <c r="N25" i="1"/>
  <c r="N20" i="1"/>
  <c r="M20" i="1"/>
  <c r="N15" i="1"/>
  <c r="N16" i="1" s="1"/>
  <c r="O16" i="1" s="1"/>
  <c r="N30" i="1" l="1"/>
  <c r="O30" i="1" s="1"/>
  <c r="O15" i="1"/>
</calcChain>
</file>

<file path=xl/sharedStrings.xml><?xml version="1.0" encoding="utf-8"?>
<sst xmlns="http://schemas.openxmlformats.org/spreadsheetml/2006/main" count="82" uniqueCount="52">
  <si>
    <t>1. Filtre (between)</t>
  </si>
  <si>
    <t>(Bu tarihten küçük eşit işlemler)</t>
  </si>
  <si>
    <t>(Bu tarihten büyük eşit işlemler)</t>
  </si>
  <si>
    <t>Input Date Başlangıç</t>
  </si>
  <si>
    <t>Input Date Bitiş</t>
  </si>
  <si>
    <t>2. Filtre (between)</t>
  </si>
  <si>
    <t>Tarih Seçimi</t>
  </si>
  <si>
    <t>Karşı Kurum</t>
  </si>
  <si>
    <t>Parite</t>
  </si>
  <si>
    <t>İşlem Yönü</t>
  </si>
  <si>
    <t>Baz Olmayan Tutar (Near)</t>
  </si>
  <si>
    <t>Near Maturity Date</t>
  </si>
  <si>
    <t>Far Maturity Date</t>
  </si>
  <si>
    <t>Vadeye Kalan Gün</t>
  </si>
  <si>
    <t>Swap Oranı</t>
  </si>
  <si>
    <t>Kar (+) / Zarar (-) Tutarı</t>
  </si>
  <si>
    <t>FX</t>
  </si>
  <si>
    <t>Swap Tipi</t>
  </si>
  <si>
    <t>GEDİZ KATILIM BANKASI</t>
  </si>
  <si>
    <t>USD/TRY</t>
  </si>
  <si>
    <t>B/S</t>
  </si>
  <si>
    <t>"Far Maturity Date-Today"</t>
  </si>
  <si>
    <t>CURRENCY</t>
  </si>
  <si>
    <t>Today</t>
  </si>
  <si>
    <t>Forward Date</t>
  </si>
  <si>
    <t>No. Of Days</t>
  </si>
  <si>
    <t>Spot Rate</t>
  </si>
  <si>
    <t>Swap Points</t>
  </si>
  <si>
    <t>Forward Rate</t>
  </si>
  <si>
    <t>FX Swap</t>
  </si>
  <si>
    <t>S/B</t>
  </si>
  <si>
    <t>**İşlemin tamtersi olsaydı</t>
  </si>
  <si>
    <t>Orijinal Swap Vade Gün Sayısı</t>
  </si>
  <si>
    <t>Baz Tutar (Near) OZ</t>
  </si>
  <si>
    <t>Sağdaki PM İşlem</t>
  </si>
  <si>
    <t>XAG/USD</t>
  </si>
  <si>
    <t>Baz Tutar (Near) Gr</t>
  </si>
  <si>
    <t>PM Swap</t>
  </si>
  <si>
    <t>PM</t>
  </si>
  <si>
    <t>Tümü Veya Seçimler</t>
  </si>
  <si>
    <t>QTAHYA INVESTMENT BANK</t>
  </si>
  <si>
    <t>SWAPLAR</t>
  </si>
  <si>
    <t>Soldaki FX İşlem</t>
  </si>
  <si>
    <t>3. Filtre (between)</t>
  </si>
  <si>
    <t>Near Maturity Date Başlangıç</t>
  </si>
  <si>
    <t>Near Maturity Date Bitiş</t>
  </si>
  <si>
    <t>Far Maturity Date Başlangıç</t>
  </si>
  <si>
    <t>Far Maturity Date Bitiş</t>
  </si>
  <si>
    <t>4. Filtre</t>
  </si>
  <si>
    <t>Açık Swap İşlemleri</t>
  </si>
  <si>
    <t>5. Filtre</t>
  </si>
  <si>
    <t>Bu filtre diğer filtreleri ezecek. Seçilen tarihte açık olan yani near leg maturity date'i küçük veya eşit VE far leg maturity date'i seçilen tarihten küçük(eşit değil) işlemleri listeleyecek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</si>
</sst>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00000"/>
    <numFmt numFmtId="165" formatCode="0.0000"/>
    <numFmt numFmtId="166" formatCode="0.000%"/>
    <numFmt numFmtId="167" formatCode="0.00000000"/>
  </numFmts>
  <fonts count="10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  <font>
      <b/>
      <sz val="10"/>
      <color theme="0"/>
      <name val="Arial"/>
      <family val="2"/>
    </font>
    <font>
      <sz val="12"/>
      <name val="Arial"/>
      <family val="2"/>
    </font>
    <font>
      <sz val="11"/>
      <color theme="0"/>
      <name val="Calibri"/>
      <family val="2"/>
      <scheme val="minor"/>
    </font>
    <font>
      <b/>
      <sz val="12"/>
      <name val="Arial"/>
      <family val="2"/>
    </font>
    <font>
      <b/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8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0" borderId="0" xfId="0" applyAlignment="1"/>
    <xf numFmtId="43" fontId="0" fillId="0" borderId="0" xfId="1" applyFont="1"/>
    <xf numFmtId="0" fontId="3" fillId="3" borderId="1" xfId="0" applyFont="1" applyFill="1" applyBorder="1"/>
    <xf numFmtId="14" fontId="3" fillId="3" borderId="2" xfId="0" applyNumberFormat="1" applyFont="1" applyFill="1" applyBorder="1" applyAlignment="1">
      <alignment horizontal="right"/>
    </xf>
    <xf numFmtId="0" fontId="3" fillId="3" borderId="3" xfId="0" applyFont="1" applyFill="1" applyBorder="1"/>
    <xf numFmtId="0" fontId="4" fillId="4" borderId="1" xfId="0" applyFont="1" applyFill="1" applyBorder="1"/>
    <xf numFmtId="14" fontId="0" fillId="4" borderId="2" xfId="0" applyNumberFormat="1" applyFill="1" applyBorder="1"/>
    <xf numFmtId="0" fontId="0" fillId="4" borderId="3" xfId="0" applyFill="1" applyBorder="1"/>
    <xf numFmtId="0" fontId="4" fillId="4" borderId="4" xfId="0" applyFont="1" applyFill="1" applyBorder="1"/>
    <xf numFmtId="14" fontId="0" fillId="4" borderId="0" xfId="0" applyNumberFormat="1" applyFill="1"/>
    <xf numFmtId="0" fontId="0" fillId="4" borderId="5" xfId="0" applyFill="1" applyBorder="1"/>
    <xf numFmtId="1" fontId="0" fillId="4" borderId="0" xfId="0" applyNumberFormat="1" applyFill="1"/>
    <xf numFmtId="0" fontId="0" fillId="4" borderId="0" xfId="0" applyFill="1"/>
    <xf numFmtId="164" fontId="5" fillId="3" borderId="0" xfId="0" applyNumberFormat="1" applyFont="1" applyFill="1"/>
    <xf numFmtId="165" fontId="6" fillId="5" borderId="5" xfId="0" applyNumberFormat="1" applyFont="1" applyFill="1" applyBorder="1"/>
    <xf numFmtId="10" fontId="2" fillId="3" borderId="0" xfId="2" applyNumberFormat="1" applyFont="1" applyFill="1" applyBorder="1"/>
    <xf numFmtId="166" fontId="1" fillId="5" borderId="5" xfId="2" applyNumberFormat="1" applyFill="1" applyBorder="1"/>
    <xf numFmtId="166" fontId="7" fillId="3" borderId="0" xfId="2" applyNumberFormat="1" applyFont="1" applyFill="1" applyBorder="1"/>
    <xf numFmtId="164" fontId="4" fillId="6" borderId="0" xfId="0" applyNumberFormat="1" applyFont="1" applyFill="1"/>
    <xf numFmtId="165" fontId="4" fillId="5" borderId="5" xfId="0" applyNumberFormat="1" applyFont="1" applyFill="1" applyBorder="1"/>
    <xf numFmtId="0" fontId="0" fillId="5" borderId="5" xfId="0" applyFill="1" applyBorder="1"/>
    <xf numFmtId="0" fontId="4" fillId="4" borderId="6" xfId="0" applyFont="1" applyFill="1" applyBorder="1"/>
    <xf numFmtId="167" fontId="5" fillId="3" borderId="7" xfId="0" applyNumberFormat="1" applyFont="1" applyFill="1" applyBorder="1"/>
    <xf numFmtId="165" fontId="8" fillId="5" borderId="8" xfId="0" applyNumberFormat="1" applyFont="1" applyFill="1" applyBorder="1"/>
    <xf numFmtId="10" fontId="0" fillId="0" borderId="0" xfId="0" applyNumberFormat="1"/>
    <xf numFmtId="43" fontId="0" fillId="0" borderId="0" xfId="0" applyNumberFormat="1"/>
    <xf numFmtId="165" fontId="5" fillId="3" borderId="7" xfId="0" applyNumberFormat="1" applyFont="1" applyFill="1" applyBorder="1"/>
    <xf numFmtId="14" fontId="0" fillId="4" borderId="0" xfId="0" applyNumberFormat="1" applyFill="1" applyBorder="1"/>
    <xf numFmtId="1" fontId="0" fillId="4" borderId="0" xfId="0" applyNumberFormat="1" applyFill="1" applyBorder="1"/>
    <xf numFmtId="0" fontId="0" fillId="4" borderId="0" xfId="0" applyFill="1" applyBorder="1"/>
    <xf numFmtId="165" fontId="5" fillId="3" borderId="0" xfId="0" applyNumberFormat="1" applyFont="1" applyFill="1" applyBorder="1"/>
    <xf numFmtId="164" fontId="4" fillId="6" borderId="0" xfId="0" applyNumberFormat="1" applyFon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9" fillId="0" borderId="0" xfId="0" applyFont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22410</xdr:colOff>
      <xdr:row>10</xdr:row>
      <xdr:rowOff>67234</xdr:rowOff>
    </xdr:from>
    <xdr:to>
      <xdr:col>7</xdr:col>
      <xdr:colOff>283001</xdr:colOff>
      <xdr:row>32</xdr:row>
      <xdr:rowOff>145677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E8AB5F-2800-42E7-9654-7BA5467DAC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07322" y="2106705"/>
          <a:ext cx="5090326" cy="4347884"/>
        </a:xfrm>
        <a:prstGeom prst="rect">
          <a:avLst/>
        </a:prstGeom>
      </xdr:spPr>
    </xdr:pic>
    <xdr:clientData/>
  </xdr:twoCellAnchor>
  <xdr:twoCellAnchor editAs="oneCell">
    <xdr:from>
      <xdr:col>7</xdr:col>
      <xdr:colOff>361790</xdr:colOff>
      <xdr:row>10</xdr:row>
      <xdr:rowOff>116096</xdr:rowOff>
    </xdr:from>
    <xdr:to>
      <xdr:col>11</xdr:col>
      <xdr:colOff>243209</xdr:colOff>
      <xdr:row>37</xdr:row>
      <xdr:rowOff>80041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048EC2C-1521-453D-88A3-4BBE4C481F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76437" y="2155567"/>
          <a:ext cx="5327478" cy="51970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45445-009D-440C-9B2B-47B1CB2DA2C9}">
  <dimension ref="A2:R39"/>
  <sheetViews>
    <sheetView tabSelected="1" zoomScaleNormal="100" workbookViewId="0">
      <selection activeCell="E2" sqref="E2:Q2"/>
    </sheetView>
  </sheetViews>
  <sheetFormatPr defaultRowHeight="15" x14ac:dyDescent="0.25"/>
  <cols>
    <col min="1" max="1" width="31.28515625" bestFit="1" customWidth="1"/>
    <col min="2" max="2" width="31.42578125" bestFit="1" customWidth="1"/>
    <col min="4" max="4" width="26" bestFit="1" customWidth="1"/>
    <col min="5" max="5" width="26.140625" bestFit="1" customWidth="1"/>
    <col min="6" max="6" width="8.85546875" bestFit="1" customWidth="1"/>
    <col min="7" max="7" width="11.28515625" bestFit="1" customWidth="1"/>
    <col min="8" max="9" width="19" bestFit="1" customWidth="1"/>
    <col min="10" max="10" width="24.85546875" bestFit="1" customWidth="1"/>
    <col min="11" max="11" width="18.85546875" bestFit="1" customWidth="1"/>
    <col min="12" max="12" width="17.140625" bestFit="1" customWidth="1"/>
    <col min="13" max="13" width="29" bestFit="1" customWidth="1"/>
    <col min="14" max="14" width="25.140625" bestFit="1" customWidth="1"/>
    <col min="15" max="15" width="11.42578125" bestFit="1" customWidth="1"/>
    <col min="16" max="16" width="22.140625" bestFit="1" customWidth="1"/>
    <col min="17" max="17" width="10" bestFit="1" customWidth="1"/>
    <col min="20" max="20" width="16.5703125" bestFit="1" customWidth="1"/>
    <col min="21" max="21" width="22.28515625" customWidth="1"/>
    <col min="22" max="22" width="11.85546875" bestFit="1" customWidth="1"/>
  </cols>
  <sheetData>
    <row r="2" spans="1:18" ht="23.25" x14ac:dyDescent="0.35">
      <c r="B2" s="3"/>
      <c r="C2" s="3"/>
      <c r="D2" s="3"/>
      <c r="E2" s="37" t="s">
        <v>41</v>
      </c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"/>
    </row>
    <row r="3" spans="1:18" x14ac:dyDescent="0.25">
      <c r="A3" s="35" t="s">
        <v>0</v>
      </c>
      <c r="B3" s="35"/>
      <c r="E3" t="s">
        <v>7</v>
      </c>
      <c r="F3" t="s">
        <v>8</v>
      </c>
      <c r="G3" t="s">
        <v>9</v>
      </c>
      <c r="H3" t="s">
        <v>33</v>
      </c>
      <c r="I3" t="s">
        <v>36</v>
      </c>
      <c r="J3" t="s">
        <v>10</v>
      </c>
      <c r="K3" t="s">
        <v>11</v>
      </c>
      <c r="L3" t="s">
        <v>12</v>
      </c>
      <c r="M3" t="s">
        <v>32</v>
      </c>
      <c r="N3" t="s">
        <v>13</v>
      </c>
      <c r="O3" t="s">
        <v>14</v>
      </c>
      <c r="P3" t="s">
        <v>15</v>
      </c>
      <c r="Q3" t="s">
        <v>17</v>
      </c>
    </row>
    <row r="4" spans="1:18" x14ac:dyDescent="0.25">
      <c r="A4" t="s">
        <v>3</v>
      </c>
      <c r="B4" t="s">
        <v>4</v>
      </c>
      <c r="D4" t="s">
        <v>42</v>
      </c>
      <c r="E4" t="s">
        <v>18</v>
      </c>
      <c r="F4" t="s">
        <v>19</v>
      </c>
      <c r="G4" t="s">
        <v>20</v>
      </c>
      <c r="H4" s="4">
        <v>8000000</v>
      </c>
      <c r="I4" s="4">
        <v>8000000</v>
      </c>
      <c r="J4" s="4">
        <v>-356640000</v>
      </c>
      <c r="K4" s="1">
        <v>46119</v>
      </c>
      <c r="L4" s="1">
        <v>46120</v>
      </c>
      <c r="M4">
        <v>1</v>
      </c>
      <c r="N4" t="s">
        <v>21</v>
      </c>
      <c r="O4" s="27">
        <v>0.39650000000000002</v>
      </c>
      <c r="P4" s="28">
        <f>-(J4*M4*O4)/360</f>
        <v>392799.33333333331</v>
      </c>
      <c r="Q4" t="s">
        <v>29</v>
      </c>
    </row>
    <row r="5" spans="1:18" x14ac:dyDescent="0.25">
      <c r="A5" s="1" t="s">
        <v>1</v>
      </c>
      <c r="B5" t="s">
        <v>2</v>
      </c>
      <c r="D5" t="s">
        <v>31</v>
      </c>
      <c r="E5" t="s">
        <v>18</v>
      </c>
      <c r="F5" t="s">
        <v>19</v>
      </c>
      <c r="G5" t="s">
        <v>30</v>
      </c>
      <c r="H5" s="4">
        <v>-8000000</v>
      </c>
      <c r="I5" s="4">
        <v>-8000000</v>
      </c>
      <c r="J5" s="4">
        <v>356640000</v>
      </c>
      <c r="K5" s="1">
        <v>46119</v>
      </c>
      <c r="L5" s="1">
        <v>46120</v>
      </c>
      <c r="M5">
        <v>1</v>
      </c>
      <c r="N5" t="s">
        <v>21</v>
      </c>
      <c r="O5" s="27">
        <v>0.39650000000000002</v>
      </c>
      <c r="P5" s="28">
        <f>-(J5*M5*O5)/360</f>
        <v>-392799.33333333331</v>
      </c>
      <c r="Q5" t="s">
        <v>29</v>
      </c>
    </row>
    <row r="6" spans="1:18" x14ac:dyDescent="0.25">
      <c r="A6" s="2" t="s">
        <v>6</v>
      </c>
      <c r="B6" s="2" t="s">
        <v>6</v>
      </c>
      <c r="H6" s="4"/>
      <c r="I6" s="4"/>
      <c r="J6" s="4"/>
    </row>
    <row r="7" spans="1:18" x14ac:dyDescent="0.25">
      <c r="D7" t="s">
        <v>34</v>
      </c>
      <c r="E7" t="s">
        <v>40</v>
      </c>
      <c r="F7" t="s">
        <v>35</v>
      </c>
      <c r="G7" t="s">
        <v>30</v>
      </c>
      <c r="H7" s="4">
        <v>-967063.39</v>
      </c>
      <c r="I7" s="4">
        <v>30079.07</v>
      </c>
      <c r="J7" s="4">
        <v>69918683.310000002</v>
      </c>
      <c r="K7" s="1">
        <v>46120</v>
      </c>
      <c r="L7" s="1">
        <v>46121</v>
      </c>
      <c r="M7">
        <v>1</v>
      </c>
      <c r="N7" t="s">
        <v>21</v>
      </c>
      <c r="O7" s="27">
        <v>4.6507219904139419E-2</v>
      </c>
      <c r="P7" s="28">
        <f>-(J7*M7*O7)/360</f>
        <v>-9032.5655002945896</v>
      </c>
      <c r="Q7" t="s">
        <v>37</v>
      </c>
    </row>
    <row r="8" spans="1:18" x14ac:dyDescent="0.25">
      <c r="A8" s="35" t="s">
        <v>5</v>
      </c>
      <c r="B8" s="35"/>
      <c r="D8" t="s">
        <v>31</v>
      </c>
      <c r="E8" t="s">
        <v>40</v>
      </c>
      <c r="F8" t="s">
        <v>35</v>
      </c>
      <c r="G8" t="s">
        <v>20</v>
      </c>
      <c r="H8" s="4">
        <v>967063.39</v>
      </c>
      <c r="I8" s="4">
        <v>30079.07</v>
      </c>
      <c r="J8" s="4">
        <v>-69918683.310000002</v>
      </c>
      <c r="K8" s="1">
        <v>46120</v>
      </c>
      <c r="L8" s="1">
        <v>46121</v>
      </c>
      <c r="M8">
        <v>1</v>
      </c>
      <c r="N8" t="s">
        <v>21</v>
      </c>
      <c r="O8" s="27">
        <v>4.6507219904139419E-2</v>
      </c>
      <c r="P8" s="28">
        <f>-(J8*M8*O8)/360</f>
        <v>9032.5655002945896</v>
      </c>
      <c r="Q8" t="s">
        <v>37</v>
      </c>
    </row>
    <row r="9" spans="1:18" x14ac:dyDescent="0.25">
      <c r="A9" t="s">
        <v>44</v>
      </c>
      <c r="B9" t="s">
        <v>45</v>
      </c>
      <c r="H9" s="4"/>
      <c r="I9" s="4"/>
      <c r="J9" s="4"/>
    </row>
    <row r="10" spans="1:18" x14ac:dyDescent="0.25">
      <c r="A10" s="1" t="s">
        <v>1</v>
      </c>
      <c r="B10" t="s">
        <v>2</v>
      </c>
      <c r="H10" s="4"/>
      <c r="I10" s="4"/>
      <c r="J10" s="4"/>
    </row>
    <row r="11" spans="1:18" x14ac:dyDescent="0.25">
      <c r="A11" s="2" t="s">
        <v>6</v>
      </c>
      <c r="B11" s="2" t="s">
        <v>6</v>
      </c>
      <c r="H11" s="4"/>
      <c r="I11" s="4"/>
      <c r="J11" s="4"/>
    </row>
    <row r="12" spans="1:18" x14ac:dyDescent="0.25">
      <c r="H12" s="4"/>
      <c r="I12" s="4"/>
      <c r="J12" s="4"/>
    </row>
    <row r="13" spans="1:18" ht="15.75" thickBot="1" x14ac:dyDescent="0.3">
      <c r="A13" s="35" t="s">
        <v>43</v>
      </c>
      <c r="B13" s="35"/>
      <c r="H13" s="4"/>
      <c r="I13" s="4"/>
      <c r="J13" s="4"/>
    </row>
    <row r="14" spans="1:18" ht="15.75" thickBot="1" x14ac:dyDescent="0.3">
      <c r="A14" t="s">
        <v>46</v>
      </c>
      <c r="B14" t="s">
        <v>47</v>
      </c>
      <c r="H14" s="4"/>
      <c r="I14" s="4"/>
      <c r="J14" s="4"/>
      <c r="M14" s="5" t="s">
        <v>22</v>
      </c>
      <c r="N14" s="6" t="s">
        <v>16</v>
      </c>
      <c r="O14" s="7"/>
    </row>
    <row r="15" spans="1:18" x14ac:dyDescent="0.25">
      <c r="A15" s="1" t="s">
        <v>1</v>
      </c>
      <c r="B15" t="s">
        <v>2</v>
      </c>
      <c r="H15" s="4"/>
      <c r="I15" s="4"/>
      <c r="J15" s="4"/>
      <c r="M15" s="8" t="s">
        <v>23</v>
      </c>
      <c r="N15" s="9">
        <f ca="1">TODAY()</f>
        <v>46119</v>
      </c>
      <c r="O15" s="10" t="str">
        <f ca="1">CHOOSE(WEEKDAY(N15),"Sunday","Monday","Tuesday","Wednesday","Thursday","Friday","Saturday")</f>
        <v>Tuesday</v>
      </c>
    </row>
    <row r="16" spans="1:18" x14ac:dyDescent="0.25">
      <c r="A16" s="2" t="s">
        <v>6</v>
      </c>
      <c r="B16" s="2" t="s">
        <v>6</v>
      </c>
      <c r="H16" s="4"/>
      <c r="I16" s="4"/>
      <c r="J16" s="4"/>
      <c r="M16" s="11" t="s">
        <v>24</v>
      </c>
      <c r="N16" s="12">
        <f ca="1">N15+N17</f>
        <v>46120</v>
      </c>
      <c r="O16" s="13" t="str">
        <f ca="1">CHOOSE(WEEKDAY(N16),"Sunday","Monday","Tuesday","Wednesday","Thursday","Friday","Saturday")</f>
        <v>Wednesday</v>
      </c>
    </row>
    <row r="17" spans="1:15" x14ac:dyDescent="0.25">
      <c r="H17" s="4"/>
      <c r="I17" s="4"/>
      <c r="J17" s="4"/>
      <c r="M17" s="11" t="s">
        <v>25</v>
      </c>
      <c r="N17" s="14">
        <v>1</v>
      </c>
      <c r="O17" s="13"/>
    </row>
    <row r="18" spans="1:15" x14ac:dyDescent="0.25">
      <c r="A18" s="35" t="s">
        <v>48</v>
      </c>
      <c r="B18" s="35"/>
      <c r="H18" s="4"/>
      <c r="I18" s="4"/>
      <c r="J18" s="4"/>
      <c r="M18" s="11"/>
      <c r="N18" s="15"/>
      <c r="O18" s="13"/>
    </row>
    <row r="19" spans="1:15" ht="15.75" x14ac:dyDescent="0.25">
      <c r="A19" t="s">
        <v>8</v>
      </c>
      <c r="B19" t="s">
        <v>39</v>
      </c>
      <c r="H19" s="4"/>
      <c r="I19" s="4"/>
      <c r="J19" s="4"/>
      <c r="M19" s="11" t="s">
        <v>26</v>
      </c>
      <c r="N19" s="16">
        <v>44.58</v>
      </c>
      <c r="O19" s="17"/>
    </row>
    <row r="20" spans="1:15" x14ac:dyDescent="0.25">
      <c r="H20" s="4"/>
      <c r="I20" s="4"/>
      <c r="J20" s="4"/>
      <c r="M20" s="11" t="str">
        <f>CONCATENATE(O14," Interest Rate")</f>
        <v xml:space="preserve"> Interest Rate</v>
      </c>
      <c r="N20" s="18">
        <f>(N25/N19-1)/N17*360</f>
        <v>0.39650067294753732</v>
      </c>
      <c r="O20" s="19"/>
    </row>
    <row r="21" spans="1:15" x14ac:dyDescent="0.25">
      <c r="A21" s="35" t="s">
        <v>50</v>
      </c>
      <c r="B21" s="35"/>
      <c r="H21" s="4"/>
      <c r="I21" s="4"/>
      <c r="J21" s="4"/>
      <c r="M21" s="11"/>
      <c r="N21" s="20"/>
      <c r="O21" s="19"/>
    </row>
    <row r="22" spans="1:15" x14ac:dyDescent="0.25">
      <c r="A22" t="s">
        <v>49</v>
      </c>
      <c r="B22" s="2" t="s">
        <v>6</v>
      </c>
      <c r="H22" s="4"/>
      <c r="I22" s="4"/>
      <c r="J22" s="4"/>
      <c r="M22" s="11"/>
      <c r="N22" s="20"/>
      <c r="O22" s="19"/>
    </row>
    <row r="23" spans="1:15" ht="15" customHeight="1" x14ac:dyDescent="0.25">
      <c r="A23" s="36" t="s">
        <v>51</v>
      </c>
      <c r="B23" s="36"/>
      <c r="H23" s="4"/>
      <c r="I23" s="4"/>
      <c r="J23" s="4"/>
      <c r="M23" s="11" t="s">
        <v>27</v>
      </c>
      <c r="N23" s="21">
        <v>491</v>
      </c>
      <c r="O23" s="22"/>
    </row>
    <row r="24" spans="1:15" x14ac:dyDescent="0.25">
      <c r="A24" s="36"/>
      <c r="B24" s="36"/>
      <c r="H24" s="4"/>
      <c r="I24" s="4"/>
      <c r="J24" s="4"/>
      <c r="M24" s="11"/>
      <c r="N24" s="15"/>
      <c r="O24" s="23"/>
    </row>
    <row r="25" spans="1:15" ht="16.5" thickBot="1" x14ac:dyDescent="0.3">
      <c r="A25" s="36"/>
      <c r="B25" s="36"/>
      <c r="H25" s="4"/>
      <c r="I25" s="4"/>
      <c r="J25" s="4"/>
      <c r="M25" s="24" t="s">
        <v>28</v>
      </c>
      <c r="N25" s="25">
        <f>N19+(N23/10000)</f>
        <v>44.629100000000001</v>
      </c>
      <c r="O25" s="26"/>
    </row>
    <row r="26" spans="1:15" x14ac:dyDescent="0.25">
      <c r="A26" s="36"/>
      <c r="B26" s="36"/>
      <c r="H26" s="4"/>
      <c r="I26" s="4"/>
      <c r="J26" s="4"/>
    </row>
    <row r="27" spans="1:15" ht="15.75" thickBot="1" x14ac:dyDescent="0.3">
      <c r="A27" s="36"/>
      <c r="B27" s="36"/>
      <c r="H27" s="4"/>
      <c r="I27" s="4"/>
      <c r="J27" s="4"/>
    </row>
    <row r="28" spans="1:15" ht="15.75" thickBot="1" x14ac:dyDescent="0.3">
      <c r="A28" s="36"/>
      <c r="B28" s="36"/>
      <c r="H28" s="4"/>
      <c r="I28" s="4"/>
      <c r="J28" s="4"/>
      <c r="M28" s="5" t="s">
        <v>22</v>
      </c>
      <c r="N28" s="6" t="s">
        <v>38</v>
      </c>
      <c r="O28" s="7"/>
    </row>
    <row r="29" spans="1:15" x14ac:dyDescent="0.25">
      <c r="H29" s="4"/>
      <c r="I29" s="4"/>
      <c r="J29" s="4"/>
      <c r="M29" s="8" t="s">
        <v>23</v>
      </c>
      <c r="N29" s="9">
        <f ca="1">TODAY()+1</f>
        <v>46120</v>
      </c>
      <c r="O29" s="10" t="str">
        <f ca="1">CHOOSE(WEEKDAY(N29),"Sunday","Monday","Tuesday","Wednesday","Thursday","Friday","Saturday")</f>
        <v>Wednesday</v>
      </c>
    </row>
    <row r="30" spans="1:15" x14ac:dyDescent="0.25">
      <c r="H30" s="4"/>
      <c r="I30" s="4"/>
      <c r="J30" s="4"/>
      <c r="M30" s="11" t="s">
        <v>24</v>
      </c>
      <c r="N30" s="30">
        <f ca="1">N29+N31</f>
        <v>46121</v>
      </c>
      <c r="O30" s="13" t="str">
        <f ca="1">CHOOSE(WEEKDAY(N30),"Sunday","Monday","Tuesday","Wednesday","Thursday","Friday","Saturday")</f>
        <v>Thursday</v>
      </c>
    </row>
    <row r="31" spans="1:15" x14ac:dyDescent="0.25">
      <c r="H31" s="4"/>
      <c r="I31" s="4"/>
      <c r="J31" s="4"/>
      <c r="M31" s="11" t="s">
        <v>25</v>
      </c>
      <c r="N31" s="31">
        <v>1</v>
      </c>
      <c r="O31" s="13"/>
    </row>
    <row r="32" spans="1:15" x14ac:dyDescent="0.25">
      <c r="H32" s="4"/>
      <c r="I32" s="4"/>
      <c r="J32" s="4"/>
      <c r="M32" s="11"/>
      <c r="N32" s="32"/>
      <c r="O32" s="13"/>
    </row>
    <row r="33" spans="8:15" ht="15.75" x14ac:dyDescent="0.25">
      <c r="H33" s="4"/>
      <c r="I33" s="4"/>
      <c r="J33" s="4"/>
      <c r="M33" s="11" t="s">
        <v>26</v>
      </c>
      <c r="N33" s="33">
        <v>7230.0000019999998</v>
      </c>
      <c r="O33" s="17">
        <v>8.6923176914083397E-2</v>
      </c>
    </row>
    <row r="34" spans="8:15" x14ac:dyDescent="0.25">
      <c r="M34" s="11" t="str">
        <f>CONCATENATE(O28," Interest Rate")</f>
        <v xml:space="preserve"> Interest Rate</v>
      </c>
      <c r="N34" s="18">
        <f>(N39/N33-1)/N31*360</f>
        <v>4.6507219904139419E-2</v>
      </c>
      <c r="O34" s="19">
        <v>7.8616924476799355E-2</v>
      </c>
    </row>
    <row r="35" spans="8:15" x14ac:dyDescent="0.25">
      <c r="M35" s="11" t="str">
        <f>CONCATENATE(N28," Interest Rate")</f>
        <v>PM Interest Rate</v>
      </c>
      <c r="N35" s="20"/>
      <c r="O35" s="19"/>
    </row>
    <row r="36" spans="8:15" x14ac:dyDescent="0.25">
      <c r="M36" s="11"/>
      <c r="N36" s="20"/>
      <c r="O36" s="19"/>
    </row>
    <row r="37" spans="8:15" x14ac:dyDescent="0.25">
      <c r="M37" s="11" t="s">
        <v>27</v>
      </c>
      <c r="N37" s="34">
        <v>93.402000000000001</v>
      </c>
      <c r="O37" s="22"/>
    </row>
    <row r="38" spans="8:15" x14ac:dyDescent="0.25">
      <c r="M38" s="11"/>
      <c r="N38" s="32"/>
      <c r="O38" s="23"/>
    </row>
    <row r="39" spans="8:15" ht="16.5" thickBot="1" x14ac:dyDescent="0.3">
      <c r="M39" s="24" t="s">
        <v>28</v>
      </c>
      <c r="N39" s="29">
        <f>N33+(N37/100)</f>
        <v>7230.9340219999995</v>
      </c>
      <c r="O39" s="26"/>
    </row>
  </sheetData>
  <mergeCells count="7">
    <mergeCell ref="E2:Q2"/>
    <mergeCell ref="A13:B13"/>
    <mergeCell ref="A21:B21"/>
    <mergeCell ref="A23:B28"/>
    <mergeCell ref="A3:B3"/>
    <mergeCell ref="A8:B8"/>
    <mergeCell ref="A18:B18"/>
  </mergeCells>
  <pageMargins left="0.7" right="0.7" top="0.75" bottom="0.75" header="0.3" footer="0.3"/>
  <pageSetup orientation="portrait" r:id="rId1"/>
  <headerFooter>
    <oddHeader>&amp;R&amp;"Arial"&amp;10&amp;K90EE90Genele Açık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DUNYA KATILIM BANKASI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Hasan Hüseyin ÇELİK</dc:creator>
  <cp:lastModifiedBy>Hasan Hüseyin ÇELİK</cp:lastModifiedBy>
  <dcterms:created xsi:type="dcterms:W3CDTF">2026-04-07T12:19:58Z</dcterms:created>
  <dcterms:modified xsi:type="dcterms:W3CDTF">2026-04-07T14:12:09Z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odilabelclass">
    <vt:lpwstr>id_classification_unclassified=0ef0d4bf-59b8-4ae6-bbc0-fafde041157b</vt:lpwstr>
  </property>
  <property fmtid="{D5CDD505-2E9C-101B-9397-08002B2CF9AE}" pid="3" name="geodilabeluser">
    <vt:lpwstr>user=hasan.celik</vt:lpwstr>
  </property>
  <property fmtid="{D5CDD505-2E9C-101B-9397-08002B2CF9AE}" pid="4" name="geodilabeltime">
    <vt:lpwstr>datetime=2026-04-07T12:25:32.058Z</vt:lpwstr>
  </property>
</Properties>
</file>
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2CA27D4E-81E5-4050-9C3B-5DD3F328D2EE}" xr6:coauthVersionLast="47" xr6:coauthVersionMax="47" xr10:uidLastSave="{00000000-0000-0000-0000-000000000000}"/>
  <bookViews>
    <workbookView xWindow="-108" yWindow="-108" windowWidth="23256" windowHeight="13896" firstSheet="8" activeTab="8" xr2:uid="{00000000-000D-0000-FFFF-FFFF00000000}"/>
  </bookViews>
  <sheets>
    <sheet name="00_Surum_Gecmisi" sheetId="1" r:id="rId1"/>
    <sheet name="00_Genel_Bakis" sheetId="2" r:id="rId2"/>
    <sheet name="00_Tip_Kurallari" sheetId="3" r:id="rId3"/>
    <sheet name="00_Sabitler" sheetId="4" r:id="rId4"/>
    <sheet name="00_DB_Nesneleri" sheetId="5" r:id="rId5"/>
    <sheet name="00_Constraint_Index" sheetId="6" r:id="rId6"/>
    <sheet name="00_Referans_Kopyalari" sheetId="7" r:id="rId7"/>
    <sheet name="00_Iliskiler" sheetId="8" r:id="rId8"/>
    <sheet name="00_UML_Diyagram" sheetId="30" r:id="rId9"/>
    <sheet name="DefCollateralAnnex" sheetId="9" r:id="rId10"/>
    <sheet name="DefCollateralAnnexProductScope" sheetId="10" r:id="rId11"/>
    <sheet name="DefCollateralAnnexMarginRule" sheetId="11" r:id="rId12"/>
    <sheet name="DefCollateral" sheetId="12" r:id="rId13"/>
    <sheet name="DefCollateralEligibleCurrency" sheetId="13" r:id="rId14"/>
    <sheet name="DefCollateralCashTerms" sheetId="14" r:id="rId15"/>
    <sheet name="DefCollateralSettlementMap" sheetId="15" r:id="rId16"/>
    <sheet name="DefCollateralSecurityRule" sheetId="16" r:id="rId17"/>
    <sheet name="DefCollateralSecurityISIN" sheetId="17" r:id="rId18"/>
    <sheet name="DefCollateralSecurityTerms" sheetId="18" r:id="rId19"/>
    <sheet name="TxnCollateral" sheetId="19" r:id="rId20"/>
    <sheet name="TxnCollateralCash" sheetId="20" r:id="rId21"/>
    <sheet name="TxnCollateralSecurity" sheetId="21" r:id="rId22"/>
    <sheet name="TxnCollateralValuation" sheetId="22" r:id="rId23"/>
    <sheet name="TxnCollateralLimit" sheetId="23" r:id="rId24"/>
    <sheet name="TxnCollateralPaymentInstruction" sheetId="24" r:id="rId25"/>
    <sheet name="TxnCollateralMessage" sheetId="25" r:id="rId26"/>
    <sheet name="TxnCollateralMessageEvent" sheetId="26" r:id="rId27"/>
    <sheet name="CollateralAuditLog" sheetId="27" r:id="rId28"/>
    <sheet name="TxnCollateralPosition" sheetId="28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4" i="30" l="1" a="1"/>
  <c r="V114" i="30" s="1"/>
  <c r="Q114" i="30" a="1"/>
  <c r="Q114" i="30" s="1"/>
  <c r="B106" i="30" a="1"/>
  <c r="B106" i="30" s="1"/>
  <c r="B96" i="30" a="1"/>
  <c r="B96" i="30" s="1"/>
  <c r="Q92" i="30" a="1"/>
  <c r="Q92" i="30" s="1"/>
  <c r="B80" i="30" a="1"/>
  <c r="B80" i="30" s="1"/>
  <c r="Q67" i="30" a="1"/>
  <c r="Q67" i="30" s="1"/>
  <c r="B64" i="30" a="1"/>
  <c r="B64" i="30" s="1"/>
  <c r="G58" i="30" a="1"/>
  <c r="G58" i="30" s="1"/>
  <c r="B47" i="30" a="1"/>
  <c r="B47" i="30" s="1"/>
  <c r="Q45" i="30" a="1"/>
  <c r="Q45" i="30" s="1"/>
  <c r="B36" i="30" a="1"/>
  <c r="B36" i="30" s="1"/>
  <c r="L34" i="30" a="1"/>
  <c r="L34" i="30" s="1"/>
  <c r="G34" i="30" a="1"/>
  <c r="G34" i="30" s="1"/>
  <c r="Q25" i="30" a="1"/>
  <c r="Q25" i="30" s="1"/>
  <c r="B21" i="30" a="1"/>
  <c r="B21" i="30" s="1"/>
  <c r="V8" i="30" a="1"/>
  <c r="V8" i="30" s="1"/>
  <c r="Q8" i="30" a="1"/>
  <c r="Q8" i="30" s="1"/>
  <c r="G8" i="30" a="1"/>
  <c r="G8" i="30" s="1"/>
  <c r="B8" i="30" a="1"/>
  <c r="B8" i="30" s="1"/>
  <c r="B6" i="30"/>
  <c r="G6" i="30"/>
  <c r="Q6" i="30"/>
  <c r="V6" i="30"/>
  <c r="AA6" i="30" a="1"/>
  <c r="AA6" i="30" s="1"/>
  <c r="AG7" i="30"/>
  <c r="V112" i="30"/>
  <c r="Q112" i="30"/>
  <c r="Q90" i="30"/>
  <c r="Q65" i="30"/>
  <c r="Q43" i="30"/>
  <c r="Q23" i="30"/>
  <c r="L32" i="30"/>
  <c r="G56" i="30"/>
  <c r="G32" i="30"/>
  <c r="B104" i="30"/>
  <c r="B94" i="30"/>
  <c r="B78" i="30"/>
  <c r="B62" i="30"/>
  <c r="B45" i="30"/>
  <c r="B34" i="30"/>
  <c r="B19" i="30"/>
  <c r="W7" i="30" l="1"/>
  <c r="C7" i="30"/>
  <c r="R7" i="30"/>
  <c r="H7" i="30"/>
  <c r="AG25" i="30"/>
  <c r="AG26" i="30"/>
  <c r="R44" i="30"/>
  <c r="AG28" i="30"/>
  <c r="C46" i="30"/>
  <c r="AG8" i="30"/>
  <c r="H57" i="30"/>
  <c r="AG10" i="30"/>
  <c r="C20" i="30"/>
  <c r="C63" i="30"/>
  <c r="AG12" i="30"/>
  <c r="R66" i="30"/>
  <c r="AG14" i="30"/>
  <c r="C79" i="30"/>
  <c r="AG16" i="30"/>
  <c r="R91" i="30"/>
  <c r="AG18" i="30"/>
  <c r="R24" i="30"/>
  <c r="C95" i="30"/>
  <c r="AG20" i="30"/>
  <c r="C35" i="30"/>
  <c r="C105" i="30"/>
  <c r="AG22" i="30"/>
  <c r="H33" i="30"/>
  <c r="R113" i="30"/>
  <c r="AG27" i="30"/>
  <c r="AG9" i="30"/>
  <c r="AG11" i="30"/>
  <c r="AG13" i="30"/>
  <c r="AG15" i="30"/>
  <c r="AG17" i="30"/>
  <c r="AG19" i="30"/>
  <c r="AG21" i="30"/>
  <c r="AG23" i="30"/>
  <c r="AG24" i="30"/>
  <c r="M33" i="30"/>
  <c r="W113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<sst xmlns="http://schemas.openxmlformats.org/spreadsheetml/2006/main" count="3152" uniqueCount="1271">
  <si>
    <t>Sürüm Geçmişi</t>
  </si>
  <si>
    <t>Sürüm</t>
  </si>
  <si>
    <t>Tarih</t>
  </si>
  <si>
    <t>Ne değişti</t>
  </si>
  <si>
    <t>Neden</t>
  </si>
  <si>
    <t>v1</t>
  </si>
  <si>
    <t>2026-10-02</t>
  </si>
  <si>
    <t>İlk üretim. Dokümanın kendi isimlendirmesi (snake_case, uuid, numeric(20,6)) birebir Excel'e aktarıldı. 19 tablo + ilişki sheet'i.</t>
  </si>
  <si>
    <t>Dokümanın veri modelini görünür kılmak</t>
  </si>
  <si>
    <t>v2</t>
  </si>
  <si>
    <t>Tüm tablo/kolon adları ve tipler NetTrexMM + NetTrex.OptionsFX konvansiyonuna çevrildi: Def/Txn prefix, PascalCase, uuid→int/bigint, numeric(20,6)→decimal(38,10), timestamptz→datetime, jsonb→nvarchar(MAX). SettlementType/PaymentInstructionType MM'de var olan tablolara FK'ye çevrildi.</t>
  </si>
  <si>
    <t>Kullanıcı dokümanın Postgres tarzı isimlendirmesini kullanmak istemedi; ev konvansiyonu esas alındı</t>
  </si>
  <si>
    <t>v3</t>
  </si>
  <si>
    <t>Self-review bulgularının tamamı kapatıldı + DDL/repository üretimine hazır hale getirildi:
• TÜM PK'ler bigint (ofis kuralı)
• Her tablo için Id üretim stratejisi netleşti (DefNumberGen vs IDENTITY)
• Constraint/Index sheet'i eklendi (PK_/UQ_/IX_/DF_ adlarıyla)
• DB Nesneleri sheet'i eklendi (History+Trigger, DefNumberGen, FlowSet/FlowTransition, DefCountMonitoring+SP, FrameworkParameter, Menü)
• Sabitler/Enum sheet'i eklendi (StateId bitmask, ActionId, tüm kod listeleri)
• Tip Kuralları sheet'i eklendi
• Tablo sheet'lerine Default / Index-Constraint / FK Hedefi kolonları eklendi
• FlowEntity/MakerCheckerEntity audit blokları gerçek emsalden (TxnTawarruq) eklendi
• Eşzamanlılık: TxnCollateralPosition opsiyonel değil ZORUNLU oldu</t>
  </si>
  <si>
    <t>Kullanıcı review istedi; 3 ciddi açık (Id üretimi, constraint listesi eksikliği, eşzamanlılık) + ofis tip kuralları (long Id, float/double yasak) ve SP/constraint/fonksiyon araştırması</t>
  </si>
  <si>
    <t>v4</t>
  </si>
  <si>
    <t>2026-10-04</t>
  </si>
  <si>
    <t>🔴 v3'ÜN BİR KARARI ÇÜRÜTÜLDÜ + fazla kolonlar temizlendi + referans kopyaları eklendi:
1) DefCollateralAnnex / DefCollateral Id'si → DefNumberGen YERİNE bigint IDENTITY. v3'te PrdProductDefinition'ı emsal almıştım; ölçüm o sayacın ÖLÜ olduğunu gösterdi (LastNumber 999 ama gerçek Id'ler 1..11; Create handler'da sayaç çağrıları yoruma alınmış). Sayaç deseni 2024-02'den sonra terk edilmiş; en yeni emsal AmortizationConfiguration (2026-04) bigint IDENTITY. DefNumberGen artık YALNIZ TxnCollateral için.
2) FlowEntity'nin 12. alanı PreviousActionId eklendi (koddan okundu; TxnTawarruq creation script'inde yoktu — script tek kaynak değil, base class asıl kaynak).
3) MakerCheckerEntity'nin CreatedBy/CreatedDate TANIMLAMADIĞI uyarısı eklendi (koddan: yalnız StateId/StateMaker/StateDate var).
4) YENİ SHEET 00_Referans_Kopyalari — her modül DB'si referans verisinin kendi kopyasını tutuyor (Common-MM kesişimi 44 tablo, Kafka ile beslenir). Collateral minimum +12 tablo / 13 topic / 12 handler → toplam 20 değil 32 tablo.
5) FAZLA KOLONLAR KALDIRILDI: 6 alt tabloda ValidFrom/ValidTo (parent revizyonu zaten geçerlilik penceresini taşıyor) · PaymentInstruction.ActiveFlow (TransactionType ile birebir tekrar) · TxnCollateral.BusinessKey (gerekçesizdi; Fimple/muhasebe faz-1 dışı).
6) Status (DRAFT/ACTIVE/INACTIVE) → IsEnabled bit. DRAFT≈StateId 16, ACTIVE≈StateId 18 olduğu için %70 tekrardı; INACTIVE'i MM'in standart IsEnabled deseni karşılıyor.</t>
  </si>
  <si>
    <t>Kullanıcı "gerçekten emin misin" diye sordu → 3 konu ölçümle kapatıldı. Ayrıca "AnnexProductScope'ta ValidFrom/ValidTo gerçekten gerekli mi" sorusu, dokümanın iki rakip versiyonlama desenini (immutable revizyon + effective-dated satır) üst üste taşıdığını ortaya çıkardı</t>
  </si>
  <si>
    <t>Kaynak: Hazine_Teminat_Yonetimi_Fonksiyonel_Teknik_Analiz v1.4 (30.09.2026) · Konvansiyon: NetTrexMM fiziksel şeması + .ai-agent/skills/db-script.md + Örnek_Scriptler/6-NetTrexMM-Tawarruq.sql emsali · Hedef DB: NetTrexCollateral (ad kesinleşmedi)</t>
  </si>
  <si>
    <t>Ekranlar</t>
  </si>
  <si>
    <t>#</t>
  </si>
  <si>
    <t>Ekran</t>
  </si>
  <si>
    <t>Açıklama</t>
  </si>
  <si>
    <t>İlişkili tablolar</t>
  </si>
  <si>
    <t>Collateral Annex</t>
  </si>
  <si>
    <t>Sözleşmesel çerçeve. İçinde 2 popup: Add Product, Add Rule.</t>
  </si>
  <si>
    <t>DefCollateralAnnex, DefCollateralAnnexProductScope, DefCollateralAnnexMarginRule</t>
  </si>
  <si>
    <t>Collateral Definition</t>
  </si>
  <si>
    <t>Cash veya Security varyantlı (CollateralType paneli seçer).</t>
  </si>
  <si>
    <t>DefCollateral + 6 alt tablo</t>
  </si>
  <si>
    <t>Collateral Transaction</t>
  </si>
  <si>
    <t>Increase/Decrease + Limit Status + Near Payment Instructions.</t>
  </si>
  <si>
    <t>TxnCollateral, TxnCollateralCash, TxnCollateralSecurity, TxnCollateralLimit, TxnCollateralPaymentInstruction</t>
  </si>
  <si>
    <t>Transaction Detail</t>
  </si>
  <si>
    <t>Kendi tablosu YOK — ledger'dan re-derive edilen salt-okunur tarihçe/running balance.</t>
  </si>
  <si>
    <t>(view/projection; TxnCollateralPosition hızlandırır)</t>
  </si>
  <si>
    <t>Tablolar — kategori ve Id stratejisi</t>
  </si>
  <si>
    <t>Tablo</t>
  </si>
  <si>
    <t>Kategori</t>
  </si>
  <si>
    <t>Id üretimi</t>
  </si>
  <si>
    <t>History + Trigger</t>
  </si>
  <si>
    <t>Not</t>
  </si>
  <si>
    <t>DefCollateralAnnex</t>
  </si>
  <si>
    <t>Maker-checker tanım (ekrandan düzenlenir)</t>
  </si>
  <si>
    <t>bigint IDENTITY</t>
  </si>
  <si>
    <t>✅ gerekli</t>
  </si>
  <si>
    <t>🔑 v4 DÜZELTMESİ: v3'te DefNumberGen demiştim, YANLIŞTI. Emsal aldığım PrdProductDefinition sayacı ÖLÜ (LastNumber 999, gerçek Id 1..11, Create handler'da sayaç çağrıları yoruma alınmış). Doğru emsal: AmortizationConfiguration (2026-04, bigint IDENTITY)</t>
  </si>
  <si>
    <t>DefCollateralAnnexProductScope</t>
  </si>
  <si>
    <t>Tanım alt tablosu</t>
  </si>
  <si>
    <t>❌ (saf eşleme — parent revizyonu kapsıyor)</t>
  </si>
  <si>
    <t>Add Product satırları. Emsal: PrdProductDefinitionMarketMap History almıyor</t>
  </si>
  <si>
    <t>DefCollateralAnnexMarginRule</t>
  </si>
  <si>
    <t>⚠️ TARTIŞMALI — parasal şart taşıyor</t>
  </si>
  <si>
    <t>Add Rule satırları (Threshold/MTA/Rounding). Emsal ayrımı: parasal/iş şartı taşıyan alt kayıt History ALIR (TxnCashFlow, AmortizationConfiguration); saf eşleme ALMAZ. Revizyon deseni sıkı uygulanırsa gerekmez</t>
  </si>
  <si>
    <t>DefCollateral</t>
  </si>
  <si>
    <t>🔑 v4 DÜZELTMESİ — yukarıdakiyle aynı gerekçe</t>
  </si>
  <si>
    <t>DefCollateralEligibleCurrency</t>
  </si>
  <si>
    <t>composite PK (Id yok)</t>
  </si>
  <si>
    <t>❌</t>
  </si>
  <si>
    <t>DefinitionId + CurrencyCode</t>
  </si>
  <si>
    <t>DefCollateralCashTerms</t>
  </si>
  <si>
    <t>Tanım alt tablosu (1:0..1)</t>
  </si>
  <si>
    <t>PK = FK (Id yok)</t>
  </si>
  <si>
    <t>DefinitionId paylaşımlı PK</t>
  </si>
  <si>
    <t>DefCollateralSettlementMap</t>
  </si>
  <si>
    <t/>
  </si>
  <si>
    <t>DefCollateralSecurityRule</t>
  </si>
  <si>
    <t>DefCollateralSecurityISIN</t>
  </si>
  <si>
    <t>DefinitionId + ISIN</t>
  </si>
  <si>
    <t>DefCollateralSecurityTerms</t>
  </si>
  <si>
    <t>TxnCollateral</t>
  </si>
  <si>
    <t>🔴 İşlem başlığı (flow)</t>
  </si>
  <si>
    <t>🔴 DefNumberGen — IDENTITY DEĞİL</t>
  </si>
  <si>
    <t>✅ ZORUNLU</t>
  </si>
  <si>
    <t>MM kuralı: Txn* tablosunda Id sayaçtan gelir (db-script.md §6)</t>
  </si>
  <si>
    <t>TxnCollateralCash</t>
  </si>
  <si>
    <t>İşlem alt tipi (1:1)</t>
  </si>
  <si>
    <t>PK = FK TxnId (Id yok)</t>
  </si>
  <si>
    <t>TxnMMDetail emsali — detayın History'si yok</t>
  </si>
  <si>
    <t>TxnCollateralSecurity</t>
  </si>
  <si>
    <t>TxnCollateralValuation</t>
  </si>
  <si>
    <t>Append-only snapshot</t>
  </si>
  <si>
    <t>❌ (zaten immutable)</t>
  </si>
  <si>
    <t>db-script.md: log/append-only tablo IDENTITY olur, DefNumberGen istemez</t>
  </si>
  <si>
    <t>TxnCollateralLimit</t>
  </si>
  <si>
    <t>TxnCollateralPaymentInstruction</t>
  </si>
  <si>
    <t>Versiyonlu talimat</t>
  </si>
  <si>
    <t>Sürüm artışı yeni satır</t>
  </si>
  <si>
    <t>TxnCollateralMessage</t>
  </si>
  <si>
    <t>Mesaj başlığı</t>
  </si>
  <si>
    <t>TxnCollateralMessageEvent</t>
  </si>
  <si>
    <t>Append-only olay</t>
  </si>
  <si>
    <t>CollateralAuditLog</t>
  </si>
  <si>
    <t>Append-only log</t>
  </si>
  <si>
    <t>⚠️ MM'de polymorphic audit tablosu emsali YOK (bkz açık noktalar)</t>
  </si>
  <si>
    <t>TxnCollateralPosition</t>
  </si>
  <si>
    <t>🔴 Bakiye projeksiyonu — ZORUNLU</t>
  </si>
  <si>
    <t>v2'de "opsiyonel" idi; eşzamanlı Decrease kontrolü için zorunlu oldu</t>
  </si>
  <si>
    <t>🔴 Açık noktalar — karar bekliyor</t>
  </si>
  <si>
    <t>Konu</t>
  </si>
  <si>
    <t>Durum</t>
  </si>
  <si>
    <t>CollateralAuditLog deseni</t>
  </si>
  <si>
    <t>MM her tabloya `&lt;Tablo&gt;History` + trigger yazıyor, tek polymorphic audit tablosu kullanmıyor. Doküman tek tablo istiyor. İkisi birlikte de olabilir (History = satır bazlı, AuditLog = olay/korelasyon bazlı). Karar senin.</t>
  </si>
  <si>
    <t>Status / LifecycleStatus ↔ StateId</t>
  </si>
  <si>
    <t>Fiziksel FK constraint</t>
  </si>
  <si>
    <t>DB adı</t>
  </si>
  <si>
    <t>`NetTrexCollateral` varsayıldı. Değişirse yalnız script'teki USE satırı değişir.</t>
  </si>
  <si>
    <t>Security / SSI / Account / Rating master</t>
  </si>
  <si>
    <t>MM'de yok. Collateral'ın en büyük dış bağımlılığı — ayrı modül mü, Collateral içinde mi tanımlanacak (bkz 00_Iliskiler B).</t>
  </si>
  <si>
    <t>Tip Kuralları (NetTrexMM fiziksel şemasından ölçüldü)</t>
  </si>
  <si>
    <t>Ofis standardı. Bu Excel'deki her kolon bu kurallara göre tiplenmiştir.</t>
  </si>
  <si>
    <t>Veri türü</t>
  </si>
  <si>
    <t>Tip</t>
  </si>
  <si>
    <t>Kural / gerekçe</t>
  </si>
  <si>
    <t>Primary key (Id)</t>
  </si>
  <si>
    <t>bigint</t>
  </si>
  <si>
    <t>🔴 Ofis kuralı: tüm PK'ler long/bigint. MM'de eski tablolar int (TxnTawarruq.Id int) ama aktif migrasyon bigint yönünde — emsal: Örnek_Scriptler/4-NetTrexMM-TxnMmDailyCalculation-TxnMmId-long.sql</t>
  </si>
  <si>
    <t>Foreign key kolonu</t>
  </si>
  <si>
    <t>bigint (iç) / int (MM master)</t>
  </si>
  <si>
    <t>Collateral içi FK'ler bigint. MM'in mevcut master tablolarına (CusCustomer, PrfPortfolio, SettlementType) giden FK'ler o tablonun gerçek Id tipinde = int</t>
  </si>
  <si>
    <t>Para / tutar / değer</t>
  </si>
  <si>
    <t>decimal(38,10)</t>
  </si>
  <si>
    <t>MM fiziksel standardı (62 kolon). 🔴 decimal(38,2) MM'de FİZİKSEL OLARAK YOK. 2 ondalık kuralı DB'de değil validator'da</t>
  </si>
  <si>
    <t>Fiyat / nominal</t>
  </si>
  <si>
    <t>Tutarla aynı bucket</t>
  </si>
  <si>
    <t>FX kuru</t>
  </si>
  <si>
    <t>MM: FXRateDetail.*Rate, TxnSync.Rate = 38,10</t>
  </si>
  <si>
    <t>Oran / yüzde / haircut (0..1)</t>
  </si>
  <si>
    <t>decimal(18,10)</t>
  </si>
  <si>
    <t>MM: TaxRate.Rate, PremiumPercent, Spread = 18,10</t>
  </si>
  <si>
    <t>🔴 float / double / real</t>
  </si>
  <si>
    <t>KULLANILMAZ</t>
  </si>
  <si>
    <t>Ofis kuralı: finansal hiçbir alanda float/double yok — yalnız decimal</t>
  </si>
  <si>
    <t>Boolean</t>
  </si>
  <si>
    <t>bit</t>
  </si>
  <si>
    <t>Kolon adı Is* (durum) veya Send*/Use* (eylem). NOT NULL + DEFAULT (0) tercih edilir</t>
  </si>
  <si>
    <t>İş tarihi (TradeDate, ValueDate, ValidFrom)</t>
  </si>
  <si>
    <t>date</t>
  </si>
  <si>
    <t>MM: 98 kolon date</t>
  </si>
  <si>
    <t>Zaman damgası / audit</t>
  </si>
  <si>
    <t>datetime</t>
  </si>
  <si>
    <t>MM: 117 kolon datetime. datetime2 yalnız HangFire'da. Kolon soneki ...Date (_at/Timestamp kalıbı YOK)</t>
  </si>
  <si>
    <t>Döviz kodu</t>
  </si>
  <si>
    <t>nvarchar(3)</t>
  </si>
  <si>
    <t>Ccy/CurrencyCode bucket'ı</t>
  </si>
  <si>
    <t>Kod / ad / dış kod</t>
  </si>
  <si>
    <t>nvarchar(50)</t>
  </si>
  <si>
    <t>Code, Name, ExternalCode, Alias, ExternalReference</t>
  </si>
  <si>
    <t>Kullanıcı / LogicalReference</t>
  </si>
  <si>
    <t>nvarchar(80)</t>
  </si>
  <si>
    <t>StateMaker, CreatedBy, Trader, LogicalReference</t>
  </si>
  <si>
    <t>nvarchar(100-200) / nvarchar(500)</t>
  </si>
  <si>
    <t>Kısa açıklama 100-200, serbest metin 500</t>
  </si>
  <si>
    <t>Uzun metin / JSON / hata</t>
  </si>
  <si>
    <t>nvarchar(MAX)</t>
  </si>
  <si>
    <t>SQL Server'da native jsonb yok — JSON metni nvarchar(MAX)</t>
  </si>
  <si>
    <t>UUID</t>
  </si>
  <si>
    <t>uniqueidentifier — yalnız zorunluysa</t>
  </si>
  <si>
    <t>MM kendi PK'lerinde UUID kullanmıyor. Tek meşru kullanım: SWIFT UETR alanı</t>
  </si>
  <si>
    <t>Enum / sabit kod kümesi</t>
  </si>
  <si>
    <t>nvarchar(n) veya int</t>
  </si>
  <si>
    <t>MM ikisini de kullanıyor: lookup tablosu varsa &lt;X&gt;Id int FK, yoksa kısa kod nvarchar. Kolon yorumunda değer listesi yazılır (db-script.md §5)</t>
  </si>
  <si>
    <t>Sabitler ve Kod Listeleri</t>
  </si>
  <si>
    <t>A) StateId bitmask — MM FlowState (tüm maker-checker tablolarında ortak)</t>
  </si>
  <si>
    <t>Değer</t>
  </si>
  <si>
    <t>Ad</t>
  </si>
  <si>
    <t>Anlamı</t>
  </si>
  <si>
    <t>Rejected</t>
  </si>
  <si>
    <t>Reddedildi biti</t>
  </si>
  <si>
    <t>Verified</t>
  </si>
  <si>
    <t>Onaylandı biti</t>
  </si>
  <si>
    <t>Deleted</t>
  </si>
  <si>
    <t>Silindi biti</t>
  </si>
  <si>
    <t>Edited</t>
  </si>
  <si>
    <t>Düzenlendi biti</t>
  </si>
  <si>
    <t>Input</t>
  </si>
  <si>
    <t>Girildi biti</t>
  </si>
  <si>
    <t>16</t>
  </si>
  <si>
    <t>Girildi, onaysız</t>
  </si>
  <si>
    <t>18</t>
  </si>
  <si>
    <t>Input+Verified</t>
  </si>
  <si>
    <t>🔑 Onaylı, aktif kayıt</t>
  </si>
  <si>
    <t>17</t>
  </si>
  <si>
    <t>Input+Rejected</t>
  </si>
  <si>
    <t>Reddedilmiş</t>
  </si>
  <si>
    <t>20</t>
  </si>
  <si>
    <t>Input+Deleted</t>
  </si>
  <si>
    <t>Silme talebi</t>
  </si>
  <si>
    <t>22</t>
  </si>
  <si>
    <t>Input+Verified+Deleted</t>
  </si>
  <si>
    <t>Onaylıydı, silindi</t>
  </si>
  <si>
    <t>24</t>
  </si>
  <si>
    <t>Input+Edited</t>
  </si>
  <si>
    <t>Düzenleme halinde</t>
  </si>
  <si>
    <t>4112</t>
  </si>
  <si>
    <t>(özel) WaitingApproval</t>
  </si>
  <si>
    <t>Tawarruq'ta çift-verify için açılmış özel state — Collateral çift verify isterse emsal bu</t>
  </si>
  <si>
    <t>B) FlowTransition ActionId değerleri (TxnTawarruq flow emsalinden)</t>
  </si>
  <si>
    <t>ActionId</t>
  </si>
  <si>
    <t>Eylem</t>
  </si>
  <si>
    <t>Create (initial → Input)</t>
  </si>
  <si>
    <t>Update</t>
  </si>
  <si>
    <t>Delete</t>
  </si>
  <si>
    <t>Verify</t>
  </si>
  <si>
    <t>Reject</t>
  </si>
  <si>
    <t>C) Doküman kod listeleri — C# enum / nvarchar sabit değerleri</t>
  </si>
  <si>
    <t>Alan</t>
  </si>
  <si>
    <t>Değerler</t>
  </si>
  <si>
    <t>Kullanıldığı tablo(lar)</t>
  </si>
  <si>
    <t>Direction / EligibilityDirection</t>
  </si>
  <si>
    <t>BOTH · POST_ONLY · RECEIVE_ONLY</t>
  </si>
  <si>
    <t>DefCollateralAnnex, DefCollateral</t>
  </si>
  <si>
    <t>~~Status~~ → IsEnabled bit</t>
  </si>
  <si>
    <t>🔑 v4'te KALDIRILDI. DRAFT≈StateId 16 · ACTIVE≈StateId 18 (tekrar) · INACTIVE→ IsEnabled = 0</t>
  </si>
  <si>
    <t>CollateralType</t>
  </si>
  <si>
    <t>CASH · SECURITY</t>
  </si>
  <si>
    <t>DefCollateral, TxnCollateral</t>
  </si>
  <si>
    <t>MarginType</t>
  </si>
  <si>
    <t>VM · IM · IA · OTHER</t>
  </si>
  <si>
    <t>DefCollateralAnnexProductScope, TxnCollateral, TxnCollateralPosition</t>
  </si>
  <si>
    <t>Party</t>
  </si>
  <si>
    <t>OWN · COUNTERPARTY</t>
  </si>
  <si>
    <t>RoundingMethod</t>
  </si>
  <si>
    <t>NEAREST · UP · DOWN</t>
  </si>
  <si>
    <t>TransactionType</t>
  </si>
  <si>
    <t>INCREASE · DECREASE</t>
  </si>
  <si>
    <t>TxnCollateral, DefCollateralSettlementMap (v4: PaymentInstruction.ActiveFlow kaldırıldı, parent'tan okunur)</t>
  </si>
  <si>
    <t>LifecycleStatus</t>
  </si>
  <si>
    <t>DRAFT · VALIDATED · VERIFIED · MESSAGE_PENDING · MESSAGE_GENERATED · SENT · ACCEPTED · SETTLED · FAILED · CANCELLED · REVERSED</t>
  </si>
  <si>
    <t>RateType</t>
  </si>
  <si>
    <t>FLOATING · FIXED · INTEREST_FREE</t>
  </si>
  <si>
    <t>CompoundingMethod</t>
  </si>
  <si>
    <t>DAILY_COMPOUNDED · SIMPLE · NONE</t>
  </si>
  <si>
    <t>DayCount</t>
  </si>
  <si>
    <t>ACT_360 · ACT_365 · THIRTY_360</t>
  </si>
  <si>
    <t>PaymentFrequency</t>
  </si>
  <si>
    <t>MONTHLY · QUARTERLY · ON_RETURN</t>
  </si>
  <si>
    <t>BusinessDayRule</t>
  </si>
  <si>
    <t>MOD_FOLLOWING · FOLLOWING · PRECEDING</t>
  </si>
  <si>
    <t>PriceSource</t>
  </si>
  <si>
    <t>MARKET_DATA · CUSTODIAN · MANUAL_APPROVED</t>
  </si>
  <si>
    <t>PriceType</t>
  </si>
  <si>
    <t>DIRTY · CLEAN_PLUS_ACCRUED</t>
  </si>
  <si>
    <t>HaircutMethod</t>
  </si>
  <si>
    <t>FIXED · SCHEDULE · EXTERNAL</t>
  </si>
  <si>
    <t>IncomeTreatment</t>
  </si>
  <si>
    <t>PASS_THROUGH · APPLY_EXPOSURE · PER_AGREEMENT</t>
  </si>
  <si>
    <t>CorporateActionHandling</t>
  </si>
  <si>
    <t>INSTRUCTION_REQUIRED · AUTO_PASS_THROUGH</t>
  </si>
  <si>
    <t>SnapshotStage (valuation)</t>
  </si>
  <si>
    <t>ENTRY · VERIFY · EOD · SETTLEMENT</t>
  </si>
  <si>
    <t>SnapshotStage (limit)</t>
  </si>
  <si>
    <t>ENTRY · VERIFY</t>
  </si>
  <si>
    <t>LimitStatus</t>
  </si>
  <si>
    <t>CONTROL_ACTIVE · CONTROL_INACTIVE</t>
  </si>
  <si>
    <t>AvailabilityStatus</t>
  </si>
  <si>
    <t>AVAILABLE · UNAVAILABLE · WARNING</t>
  </si>
  <si>
    <t>MessageFamily</t>
  </si>
  <si>
    <t>PAYMENT · SECURITIES</t>
  </si>
  <si>
    <t>MessageType</t>
  </si>
  <si>
    <t>PACS009_CORE · PACS009_COV · MT202_NON_CBPR · SESE023 · MT540 · MT541 · MT542 · MT543</t>
  </si>
  <si>
    <t>MessagePurpose</t>
  </si>
  <si>
    <t>SETTLEMENT · CANCELLATION · CONFIRMATION</t>
  </si>
  <si>
    <t>EventType (message)</t>
  </si>
  <si>
    <t>GENERATED · SENT · ACCEPTED · SETTLED · REJECTED · FAILED</t>
  </si>
  <si>
    <t>AggregateType (audit)</t>
  </si>
  <si>
    <t>ANNEX · DEFINITION · TRANSACTION · MESSAGE</t>
  </si>
  <si>
    <t>EventType (audit)</t>
  </si>
  <si>
    <t>CREATE · UPDATE · VERIFY · SEND · SETTLE · REVERSE</t>
  </si>
  <si>
    <t>Channel (audit)</t>
  </si>
  <si>
    <t>UI · API · BATCH · ADAPTER</t>
  </si>
  <si>
    <t>D) FrameworkParameter satırları (NetTrexCommon — sp_FrameworkAddParameter ile)</t>
  </si>
  <si>
    <t>OptionPath</t>
  </si>
  <si>
    <t>OptionName</t>
  </si>
  <si>
    <t>Örnek değer</t>
  </si>
  <si>
    <t>Ne işe yarar</t>
  </si>
  <si>
    <t>Collateral</t>
  </si>
  <si>
    <t>Module.IsEnabled</t>
  </si>
  <si>
    <t>true</t>
  </si>
  <si>
    <t>Modül kill-switch (MM'in InterbankLoan:Enabled emsali)</t>
  </si>
  <si>
    <t>DefaultPortfolioPath</t>
  </si>
  <si>
    <t>0/1/2/0/176/</t>
  </si>
  <si>
    <t>🔑 Portföy parametresi Code değil PATH taşır (PrfPortfolio.Code tekil değil)</t>
  </si>
  <si>
    <t>StaleRateToleranceMin</t>
  </si>
  <si>
    <t>60</t>
  </si>
  <si>
    <t>Kur/fiyat yaşı eşiği (AC-36)</t>
  </si>
  <si>
    <t>MtaDeviationPolicy</t>
  </si>
  <si>
    <t>Warning</t>
  </si>
  <si>
    <t>MTA/Rounding sapması: Warning | Override | Block (doküman §8.6)</t>
  </si>
  <si>
    <t>AllowNegativeBalance</t>
  </si>
  <si>
    <t>false</t>
  </si>
  <si>
    <t>Decrease bakiyeyi aşabilir mi (doküman §7.3)</t>
  </si>
  <si>
    <t>⚠️ sp_FrameworkAddParameter: @OptionName sınırı 50 karakter · mevcut değeri EZMEZ · boş değer yazılamaz</t>
  </si>
  <si>
    <t>Tablo Dışında Üretilmesi Gereken DB Nesneleri</t>
  </si>
  <si>
    <t>Kaynak: .ai-agent/skills/db-script.md + NetTrex.MM/.ai-agent/imports/Örnek_Scriptler/ (Tawarruq emsali). Script üretilirken bu liste eksiksiz uygulanır.</t>
  </si>
  <si>
    <t>Nesne</t>
  </si>
  <si>
    <t>Hangi DB</t>
  </si>
  <si>
    <t>Hangi tablolar için</t>
  </si>
  <si>
    <t>Kalıp / örnek</t>
  </si>
  <si>
    <t>History tablosu</t>
  </si>
  <si>
    <t>NetTrexCollateral</t>
  </si>
  <si>
    <t>DefCollateralAnnex, DefCollateral, TxnCollateral (maker-checker/StateId taşıyan 3 tablo)</t>
  </si>
  <si>
    <t>`&lt;Tablo&gt;History`: [HistoryId] bigint IDENTITY(1,1) PK + ana tablonun TÜM kolonları AYNI SIRADA. PK adı: PK_&lt;Tablo&gt;History</t>
  </si>
  <si>
    <t>Trigger</t>
  </si>
  <si>
    <t>Yukarıdaki 3 tablo</t>
  </si>
  <si>
    <t>🔑 `CREATE OR ALTER TRIGGER [dbo].[&lt;Tablo&gt;Trigger] ON [dbo].[&lt;Tablo&gt;] FOR INSERT, UPDATE AS BEGIN SET NOCOUNT ON; INSERT INTO [dbo].[&lt;Tablo&gt;History] ([Kolon1],[Kolon2],…) SELECT [Kolon1],[Kolon2],… FROM inserted; END` — 🔴 **AÇIK KOLON LİSTESİ** kullan (TxnMMTrigger kalıbı). `SELECT * FROM inserted` eski kuşak (PrdProductDefinitionTrigger) ve kolon sırasına bağımlı — kullanma. Trigger batch'in İLK satırı olmalı</t>
  </si>
  <si>
    <t>DefNumberGen satırı</t>
  </si>
  <si>
    <t>DefRefNumGen / LogicalReference tipi</t>
  </si>
  <si>
    <t>LogicalReference üretimi ayrı sayaç (sp_GetNewRefNumber, günlük sıfırlanır). LogicalReferenceType satırı + prefix (ör. TCL) tanımlanmalı</t>
  </si>
  <si>
    <t>FlowState / FlowSet / FlowRequestMap / FlowTransition</t>
  </si>
  <si>
    <t>TxnCollateral (maker-checker akışı)</t>
  </si>
  <si>
    <t>Emsal: Örnek_Scriptler/6-NetTrexMM-Tawarruq.sql satır 432-594. FlowSet (ör. "CollateralTransactionFlow") + 15-17 FlowTransition satırı (Input 16 → Verify 18 → Delete 20/22 → Edit 24). Çift verify istenirse ek FlowState + FlowDynamicRule</t>
  </si>
  <si>
    <t>DefCountMonitoring satırı</t>
  </si>
  <si>
    <t>🔴 NetTrexCommon</t>
  </si>
  <si>
    <t>🔑 TABLO başına değil, EKRAN başına (en çok 3)</t>
  </si>
  <si>
    <t>Ölçüldü (30 satır var): Id = MAX(Id)+1 (IDENTITY DEĞİL) · ScreenName nvarchar(100) ör. 'Collateral Transactions' · Query = 'EXEC sp_UnverifiedDataCount_&lt;Ekran&gt; @CurrentUserId' · ScreenUrl = 'general/&lt;Controller&gt;/Index' · Connection = 'Connection' (literal) · DefaultUnverifiedStateId = '3' (nvarchar) · State = 1 (0 = kapalı)</t>
  </si>
  <si>
    <t>sp_UnverifiedDataCount_&lt;Ekran&gt;</t>
  </si>
  <si>
    <t>🔑 EKRAN başına 1 adet (tablo başına DEĞİL)</t>
  </si>
  <si>
    <t>Ölçüldü: Common'da 30 adet var, modül DB'lerinde YOK. EXEC('CREATE PROCEDURE …') ile kurulur (GO sorunu). Gövde: `SELECT @HavePermission = dbo.fn_HasPermissionWithUserId(@CurrentUserId, '&lt;Ekran&gt;\_%')` + cross-DB sayım `FROM NetTrexCollateral.dbo.&lt;Tablo&gt; WITH (NOLOCK) WHERE (StateId &amp; 2) &lt;&gt; 2 AND (StateId &amp; 1) &lt;&gt; 1` · yetkisizse -1 döner</t>
  </si>
  <si>
    <t>7b</t>
  </si>
  <si>
    <t>🚫 Modül DB'sine SP YAZMA</t>
  </si>
  <si>
    <t>—</t>
  </si>
  <si>
    <t>Ölçüldü: NetTrexMM'de 125 tabloya karşılık yalnız 9 SP var ve hiçbiri 'her tablo için açılan' türden değil (2'si sayaç, kalanı legacy entegrasyon/rapor). 🔑 Yeni tablo açmak SP açmayı GEREKTİRMEZ. İş mantığı C# handler/DataManager'da</t>
  </si>
  <si>
    <t>7c</t>
  </si>
  <si>
    <t>🚫 Function YAZMA</t>
  </si>
  <si>
    <t>Ölçüldü: 28 scalar + 1 TVF var, hepsi 2020-2025 legacy finans kütüphanesi (fn_Accrual, fd_LgDt, fn_ConvertCCY…), modül başına üretilmiyor. Gerekirse MEVCUT fonksiyonları çağır, yenisini yazma</t>
  </si>
  <si>
    <t>FrameworkParameter satırları</t>
  </si>
  <si>
    <t>exec [dbo].[sp_FrameworkAddParameter] '&lt;Path&gt;','&lt;Name&gt;','&lt;Value&gt;' — elle INSERT YASAK. Liste: 00_Sabitler D bölümü</t>
  </si>
  <si>
    <t>FrameworkMenu satırları</t>
  </si>
  <si>
    <t>3 ekran</t>
  </si>
  <si>
    <t>MenuKey ile IF NOT EXISTS. 🔴 Menü Redis'te ModuleMenu:{UserId} altında 8 saat cache'li — script sonrası flush notu şart</t>
  </si>
  <si>
    <t>Permission (sp_FrameworkAddPermission)</t>
  </si>
  <si>
    <t>NetTrexCommon</t>
  </si>
  <si>
    <t>🔴 YALNIZ Trex.WebUI ekranı yapılırsa</t>
  </si>
  <si>
    <t>Collateral Micro UI olarak yapılacaksa permission satırı YAZILMAZ (db-script.md §4). Micro UI'da erişim menü üzerinden</t>
  </si>
  <si>
    <t>Index'ler</t>
  </si>
  <si>
    <t>Tümü</t>
  </si>
  <si>
    <t>Bkz 00_Constraint_Index sheet'i</t>
  </si>
  <si>
    <t>Bakiye güncelleme (TxnCollateralPosition)</t>
  </si>
  <si>
    <t>TxnCollateral Verify akışı</t>
  </si>
  <si>
    <t>🔴 Eşzamanlı Decrease'i önlemek için: pozisyon satırı Verify ile AYNI transaction içinde `WITH (UPDLOCK, ROWLOCK)` ile okunup güncellenir — DefNumberGen'in sp_GetNewNumbers'da kullandığı kanıtlanmış kalıbın aynısı</t>
  </si>
  <si>
    <t>Constraint ve Index Listesi (ev isimlendirmesiyle)</t>
  </si>
  <si>
    <t>İsim kalıpları (db-script.md §5): PK_&lt;Tablo&gt; · UQ_&lt;Tablo&gt;_&lt;Kolon&gt; · IX_&lt;Tablo&gt;_&lt;Kolon&gt; · DF_&lt;Tablo&gt;_&lt;Kolon&gt; · &lt;Tablo&gt;Trigger. FK kalıbı: FK_&lt;Tablo&gt;_&lt;HedefTablo&gt;_&lt;Kolon&gt; (EF default) — ⚠️ MM emsal script'inde fiziksel FK YAZILMIYOR, karar 00_Genel_Bakis açık nokta #3.</t>
  </si>
  <si>
    <t>A) Primary key</t>
  </si>
  <si>
    <t>Constraint adı</t>
  </si>
  <si>
    <t>Kolon(lar)</t>
  </si>
  <si>
    <t>PK_DefCollateralAnnex</t>
  </si>
  <si>
    <t>Id</t>
  </si>
  <si>
    <t>CLUSTERED</t>
  </si>
  <si>
    <t>PK_DefCollateralAnnexProductScope</t>
  </si>
  <si>
    <t>PK_DefCollateralAnnexMarginRule</t>
  </si>
  <si>
    <t>PK_DefCollateral</t>
  </si>
  <si>
    <t>PK_DefCollateralEligibleCurrency</t>
  </si>
  <si>
    <t>DefinitionId, CurrencyCode</t>
  </si>
  <si>
    <t>Composite — aynı para birimi tekrar edemez</t>
  </si>
  <si>
    <t>PK_DefCollateralCashTerms</t>
  </si>
  <si>
    <t>DefinitionId</t>
  </si>
  <si>
    <t>PK = FK (1:0..1)</t>
  </si>
  <si>
    <t>PK_DefCollateralSettlementMap</t>
  </si>
  <si>
    <t>PK_DefCollateralSecurityRule</t>
  </si>
  <si>
    <t>PK_DefCollateralSecurityISIN</t>
  </si>
  <si>
    <t>DefinitionId, ISIN</t>
  </si>
  <si>
    <t>Composite</t>
  </si>
  <si>
    <t>PK_DefCollateralSecurityTerms</t>
  </si>
  <si>
    <t>PK = FK</t>
  </si>
  <si>
    <t>PK_TxnCollateral</t>
  </si>
  <si>
    <t>CLUSTERED · Id DefNumberGen'den</t>
  </si>
  <si>
    <t>PK_TxnCollateralCash</t>
  </si>
  <si>
    <t>TxnId</t>
  </si>
  <si>
    <t>PK_TxnCollateralSecurity</t>
  </si>
  <si>
    <t>PK_TxnCollateralValuation</t>
  </si>
  <si>
    <t>PK_TxnCollateralLimit</t>
  </si>
  <si>
    <t>PK_TxnCollateralPaymentInstruction</t>
  </si>
  <si>
    <t>PK_TxnCollateralMessage</t>
  </si>
  <si>
    <t>PK_TxnCollateralMessageEvent</t>
  </si>
  <si>
    <t>PK_CollateralAuditLog</t>
  </si>
  <si>
    <t>PK_TxnCollateralPosition</t>
  </si>
  <si>
    <t>DefinitionId, MarginType, AssetCode</t>
  </si>
  <si>
    <t>Composite — bakiye kırılımının kendisi</t>
  </si>
  <si>
    <t>&lt;Tablo&gt;History (3 adet)</t>
  </si>
  <si>
    <t>PK_&lt;Tablo&gt;History</t>
  </si>
  <si>
    <t>HistoryId</t>
  </si>
  <si>
    <t>B) Unique index — iş kuralı taşıyanlar 🔴 (ad kalıbı: UQ_&lt;Tablo&gt;_&lt;İlkKolon&gt; — MM'de composite UQ adı YALNIZ ilk kolonu taşıyor, ölçüldü: UQ_FXRateDetail_FXRateId 3 kolonluk)</t>
  </si>
  <si>
    <t>Index adı</t>
  </si>
  <si>
    <t>Tablo (kolonlar)</t>
  </si>
  <si>
    <t>Hangi iş kuralını/kabul kriterini karşılıyor</t>
  </si>
  <si>
    <t>UQ_DefCollateralAnnex_AnnexCode</t>
  </si>
  <si>
    <t>DefCollateralAnnex (AnnexCode, RevisionNo)</t>
  </si>
  <si>
    <t>AC-37 — aynı iş kodunda revizyon tekilliği</t>
  </si>
  <si>
    <t>UQ_DefCollateral_CollateralCode</t>
  </si>
  <si>
    <t>DefCollateral (CollateralCode, RevisionNo)</t>
  </si>
  <si>
    <t>AC-37 — aynı Collateral Code'da revizyon tekilliği</t>
  </si>
  <si>
    <t>UQ_TxnCollateral_TransactionReference</t>
  </si>
  <si>
    <t>TxnCollateral (TransactionReference)</t>
  </si>
  <si>
    <t>İşlem referansı tekilliği</t>
  </si>
  <si>
    <t>UQ_TxnCollateral_LogicalReference</t>
  </si>
  <si>
    <t>TxnCollateral (LogicalReference)</t>
  </si>
  <si>
    <t>✅ MM emsali birebir: UQ_TxnMM_LogicalReference, UQ_TxnTawarruq_LogicalReference</t>
  </si>
  <si>
    <t>UQ_TxnCollateral_SourceSystem</t>
  </si>
  <si>
    <t>TxnCollateral (SourceSystem, ExternalReference)</t>
  </si>
  <si>
    <t>🔴 AC-35 — harici kaynak duplicate engeli. ⚠️ MM'de FILTERED index HİÇ YOK (5/5 filtered değil). İki seçenek: (a) bilinçli sapma → WHERE ExternalReference IS NOT NULL filtered index, (b) ev deseni → kolonları NOT NULL DEFAULT('') yapıp düz UQ. 🔑 Karar gerekiyor</t>
  </si>
  <si>
    <t>UQ_TxnCollateralLimit_TxnId</t>
  </si>
  <si>
    <t>TxnCollateralLimit (TxnId, SnapshotStage)</t>
  </si>
  <si>
    <t>Aynı aşama için duplicate limit snapshot engeli</t>
  </si>
  <si>
    <t>UQ_TxnCollateralPaymentInstruction_TxnId</t>
  </si>
  <si>
    <t>TxnCollateralPaymentInstruction (TxnId, InstructionVersion)</t>
  </si>
  <si>
    <t>Talimat sürüm tekilliği</t>
  </si>
  <si>
    <t>UQ_TxnCollateralMessage_IdempotencyKey</t>
  </si>
  <si>
    <t>TxnCollateralMessage (IdempotencyKey)</t>
  </si>
  <si>
    <t>🔴 AC-12/AC-17 — duplicate ödeme/settlement mesajı engeli</t>
  </si>
  <si>
    <t>UQ_TxnCollateralMessage_UETR</t>
  </si>
  <si>
    <t>TxnCollateralMessage (UETR)</t>
  </si>
  <si>
    <t>⚠️ UETR nullable → ya filtered index (ev deseninden sapma) ya da unique'ten vazgeçip IX kullan</t>
  </si>
  <si>
    <t>UQ_DefCollateralAnnexMarginRule_ProductScopeId</t>
  </si>
  <si>
    <t>C) Non-unique index — performans</t>
  </si>
  <si>
    <t>IX_TxnCollateral_DefinitionId_ValueDate</t>
  </si>
  <si>
    <t>TxnCollateral (DefinitionId, ValueDate)</t>
  </si>
  <si>
    <t>Tarihçe + running balance sorgusu (doküman §10.23)</t>
  </si>
  <si>
    <t>IX_TxnCollateral_StateId</t>
  </si>
  <si>
    <t>TxnCollateral (StateId)</t>
  </si>
  <si>
    <t>sp_UnverifiedDataCount sayımı + onay bekleyen listesi</t>
  </si>
  <si>
    <t>IX_TxnCollateral_CustomerId</t>
  </si>
  <si>
    <t>TxnCollateral (CustomerId)</t>
  </si>
  <si>
    <t>Karşı taraf bazlı sorgu</t>
  </si>
  <si>
    <t>IX_TxnCollateralCash_CurrencyCode</t>
  </si>
  <si>
    <t>TxnCollateralCash (CurrencyCode)</t>
  </si>
  <si>
    <t>Para birimi bazlı bakiye</t>
  </si>
  <si>
    <t>IX_TxnCollateralSecurity_ISIN</t>
  </si>
  <si>
    <t>TxnCollateralSecurity (ISIN)</t>
  </si>
  <si>
    <t>ISIN bazlı bakiye</t>
  </si>
  <si>
    <t>IX_TxnCollateralValuation_TxnId_Stage</t>
  </si>
  <si>
    <t>TxnCollateralValuation (TxnId, SnapshotStage)</t>
  </si>
  <si>
    <t>Snapshot okuma</t>
  </si>
  <si>
    <t>IX_TxnCollateralMessageEvent_MessageId_Occurred</t>
  </si>
  <si>
    <t>TxnCollateralMessageEvent (MessageId, OccurredDate)</t>
  </si>
  <si>
    <t>Kanal yaşam döngüsü/mutabakat</t>
  </si>
  <si>
    <t>IX_CollateralAuditLog_Aggregate</t>
  </si>
  <si>
    <t>CollateralAuditLog (AggregateType, AggregateId)</t>
  </si>
  <si>
    <t>Polymorphic audit okuma</t>
  </si>
  <si>
    <t>IX_CollateralAuditLog_CorrelationId</t>
  </si>
  <si>
    <t>CollateralAuditLog (CorrelationId)</t>
  </si>
  <si>
    <t>Uçtan uca izleme</t>
  </si>
  <si>
    <t>IX_DefCollateral_CollateralCode</t>
  </si>
  <si>
    <t>DefCollateral (CollateralCode, IsEnabled)</t>
  </si>
  <si>
    <t>Aktif tanım arama (v4: Status kolonu kalktı, IsEnabled geldi)</t>
  </si>
  <si>
    <t>IX_DefCollateralAnnex_CustomerId</t>
  </si>
  <si>
    <t>DefCollateralAnnex (CustomerId)</t>
  </si>
  <si>
    <t>Karşı taraf bazlı Annex listesi</t>
  </si>
  <si>
    <t>D) Default constraint</t>
  </si>
  <si>
    <t>Tablo.Kolon</t>
  </si>
  <si>
    <t>DF_TxnCollateral_Trader</t>
  </si>
  <si>
    <t>TxnCollateral.Trader</t>
  </si>
  <si>
    <t>('')</t>
  </si>
  <si>
    <t>DF_TxnCollateral_EconomicVersion</t>
  </si>
  <si>
    <t>TxnCollateral.EconomicVersion</t>
  </si>
  <si>
    <t>(1)</t>
  </si>
  <si>
    <t>DF_TxnCollateralCash_FxAdjustmentRate</t>
  </si>
  <si>
    <t>TxnCollateralCash.FxAdjustmentRate</t>
  </si>
  <si>
    <t>(0)</t>
  </si>
  <si>
    <t>DF_TxnCollateralPaymentInstruction_SendConfirmation</t>
  </si>
  <si>
    <t>TxnCollateralPaymentInstruction.SendConfirmation</t>
  </si>
  <si>
    <t>DF_TxnCollateralPaymentInstruction_SendPayment</t>
  </si>
  <si>
    <t>TxnCollateralPaymentInstruction.SendPayment</t>
  </si>
  <si>
    <t>DF_TxnCollateralPaymentInstruction_SendNoticeToReceive</t>
  </si>
  <si>
    <t>TxnCollateralPaymentInstruction.SendNoticeToReceive</t>
  </si>
  <si>
    <t>DF_TxnCollateralMessage_RetryCount</t>
  </si>
  <si>
    <t>TxnCollateralMessage.RetryCount</t>
  </si>
  <si>
    <t>DF_&lt;Tablo&gt;_StateId</t>
  </si>
  <si>
    <t>StateId olan HER tablo</t>
  </si>
  <si>
    <t>((18)) — framework "yeni/doğrulanmamış" durumu. Ölçüldü: 4 tabloda bu default var</t>
  </si>
  <si>
    <t>DF_&lt;Tablo&gt;_StateDate</t>
  </si>
  <si>
    <t>StateDate olan her tablo</t>
  </si>
  <si>
    <t>(getdate()) — ölçüldü: 7 kullanım</t>
  </si>
  <si>
    <t>DF_&lt;Tablo&gt;_StateMaker</t>
  </si>
  <si>
    <t>StateMaker olan her tablo</t>
  </si>
  <si>
    <t>('system') — ölçüldü: 2 kullanım</t>
  </si>
  <si>
    <t>DF_&lt;Tablo&gt;_CreatedBy</t>
  </si>
  <si>
    <t>CreatedBy</t>
  </si>
  <si>
    <t>(N'') — NULL yerine boş string (ev tercihi)</t>
  </si>
  <si>
    <t>DF_&lt;Tablo&gt;_CreatedDate</t>
  </si>
  <si>
    <t>CreatedDate</t>
  </si>
  <si>
    <t>(getdate())</t>
  </si>
  <si>
    <t>DF_&lt;tablo&gt;_IsActive / IsIncluded</t>
  </si>
  <si>
    <t>bit kolonlar</t>
  </si>
  <si>
    <t>((0)) varsayılan — açık olması gerekenlerde ((1)). Ölçüldü: 23 kolon ((0)), 4 kolon ((1))</t>
  </si>
  <si>
    <t>🔴 İsimsiz DEFAULT</t>
  </si>
  <si>
    <t>ASLA yazma. MM'de 1 hata var: DF__TxnTawarr__Exter__458AE82D (SQL Server üretti çünkü ad verilmemiş) — kopyalanmamalı</t>
  </si>
  <si>
    <t>E) CHECK constraint — ⚠️ KARAR GEREKİYOR</t>
  </si>
  <si>
    <t>Doküman isteği</t>
  </si>
  <si>
    <t>Doküman §10.24 bol CHECK istiyor: Status IN (…), Amount &gt; 0, ValidTo &gt;= ValidFrom, oran 0..1, "exactly one subtype", directional SSI pair</t>
  </si>
  <si>
    <t>🔴 MM gerçeği (ÖLÇÜLDÜ)</t>
  </si>
  <si>
    <t>NetTrexMM'de sys.check_constraints = **0 satır**. 125 tabloda TEK BİR CHECK constraint yok. Tüm kontroller FluentValidation + domain katmanında</t>
  </si>
  <si>
    <t>Varsayılan karar</t>
  </si>
  <si>
    <t>🔑 **CHECK YAZMA** — ev konvansiyonu bu. Bu Excel'deki "&gt; 0", "0..1", "ValidTo &gt;= ValidFrom" gibi ifadeler DB constraint'i değil, SERVİS KATMANI validasyon kuralıdır (F bölümüne bak)</t>
  </si>
  <si>
    <t>Sapmak istenirse</t>
  </si>
  <si>
    <t>MM'de emsal olmadığı için isim kalıbı sıfırdan tanımlanır (`CK_&lt;Tablo&gt;_&lt;Kural&gt;`) ve bu karar yazılı hale getirilmelidir — ileride MM'e bakıp kopyalayan kimse CHECK görmeyecek</t>
  </si>
  <si>
    <t>F) Servis katmanı invariant'ları (DB zorlayamaz / zorlamayacak)</t>
  </si>
  <si>
    <t>Invariant</t>
  </si>
  <si>
    <t>Nerede uygulanır</t>
  </si>
  <si>
    <t>Kabul kriteri</t>
  </si>
  <si>
    <t>Exactly one subtype: CollateralType=CASH → yalnız TxnCollateralCash satırı; SECURITY → yalnız TxnCollateralSecurity</t>
  </si>
  <si>
    <t>Transaction servisi (Create/Verify)</t>
  </si>
  <si>
    <t>Doküman §10.24</t>
  </si>
  <si>
    <t>Directional SSI: INCREASE → TheySend+WeReceive zorunlu; DECREASE → WeSend+TheyReceive zorunlu</t>
  </si>
  <si>
    <t>Verify validasyonu</t>
  </si>
  <si>
    <t>AC-29, AC-32, AC-33</t>
  </si>
  <si>
    <t>Decrease kullanılabilir bakiyeyi aşamaz</t>
  </si>
  <si>
    <t>Verify — TxnCollateralPosition UPDLOCK ile okunur</t>
  </si>
  <si>
    <t>AC-09, AC-38</t>
  </si>
  <si>
    <t>VERIFIED sonrası ekonomik kolonlara UPDATE yok — düzeltme reversal ile</t>
  </si>
  <si>
    <t>Transaction servisi + flow (FlowTransition)</t>
  </si>
  <si>
    <t>AC-18</t>
  </si>
  <si>
    <t>Aktif revizyon dönemleri çakışamaz (aynı kod için)</t>
  </si>
  <si>
    <t>Annex/Definition servisi</t>
  </si>
  <si>
    <t>AC-37</t>
  </si>
  <si>
    <t>Transaction Type ↔ Annex Direction uyumu</t>
  </si>
  <si>
    <t>AC-21, AC-22, AC-32, AC-33</t>
  </si>
  <si>
    <t>Idempotent re-verify: aynı ekonomik sürüm için ikinci mesaj üretilmez</t>
  </si>
  <si>
    <t>Message servisi (IdempotencyKey)</t>
  </si>
  <si>
    <t>AC-12, AC-17</t>
  </si>
  <si>
    <t>Referans Veri Kopyaları — NetTrexCollateral'de AÇILMASI ZORUNLU Tablolar</t>
  </si>
  <si>
    <t>🔴 ÖLÇÜLDÜ: NetTrexCommon master, her modül DB'si referans verisinin KENDİ kopyasını tutuyor (Common↔MM kesişimi 44 tablo) ve Kafka ile besleniyor. Her modül YALNIZ ihtiyacı kadarını açıyor (MM 24 topic, OptionsFX 11). Kanıt: Tawarruq script'i aynı kolonu 5 ayrı DB'nin CusCustomer'ına ekliyor.</t>
  </si>
  <si>
    <t>🔴 3 ZORUNLU KURAL (kopya tablolar normal tablolardan FARKLI davranır)</t>
  </si>
  <si>
    <t>Kural</t>
  </si>
  <si>
    <t>Gerekçe</t>
  </si>
  <si>
    <t>Id IDENTITY DEĞİL — EF config'te `.ValueGeneratedNever()` açıkça yazılır</t>
  </si>
  <si>
    <t>Common'ın Id'si birebir taşınıyor. Emsal: PortfolioConfiguration, MarketCustomerMapConfiguration</t>
  </si>
  <si>
    <t>DefNumberGen sayacı AÇILMAZ</t>
  </si>
  <si>
    <t>Id dışarıdan geliyor, üretilmiyor</t>
  </si>
  <si>
    <t>History + Trigger YAZILMAZ</t>
  </si>
  <si>
    <t>Tarihçe Common'da (CustomerHistory vb.). MM'in 9 History tablosunun hiçbiri referans kopyası değil</t>
  </si>
  <si>
    <t>KATMAN A — çekirdek, tartışmasız (12 tablo · 13 topic · 12 handler)</t>
  </si>
  <si>
    <t>Tablo (NetTrexCollateral)</t>
  </si>
  <si>
    <t>Common'daki adı</t>
  </si>
  <si>
    <t>Kafka topic</t>
  </si>
  <si>
    <t>Handler</t>
  </si>
  <si>
    <t>Collateral neden ihtiyaç duyuyor</t>
  </si>
  <si>
    <t>CusCustomer</t>
  </si>
  <si>
    <t>Customer</t>
  </si>
  <si>
    <t>customer-insert</t>
  </si>
  <si>
    <t>CustomerCreateHandler</t>
  </si>
  <si>
    <t>Counterparty — Annex/Definition/Transaction'ın hepsinde FK</t>
  </si>
  <si>
    <t>PrfPortfolio</t>
  </si>
  <si>
    <t>Portfolio</t>
  </si>
  <si>
    <t>portfolio-insert</t>
  </si>
  <si>
    <t>PortfolioCreateHandler</t>
  </si>
  <si>
    <t>TxnCollateral.PortfolioId</t>
  </si>
  <si>
    <t>Currency</t>
  </si>
  <si>
    <t>currency-insert</t>
  </si>
  <si>
    <t>CurrencyCreateHandler</t>
  </si>
  <si>
    <t>Her tutar/değerleme kolonunun para birimi</t>
  </si>
  <si>
    <t>DefDateBasis</t>
  </si>
  <si>
    <t>DateBasis</t>
  </si>
  <si>
    <t>datebasis-insert</t>
  </si>
  <si>
    <t>DateBasisCreateHandler</t>
  </si>
  <si>
    <t>Cash faiz şartları (DayCount)</t>
  </si>
  <si>
    <t>Calendar</t>
  </si>
  <si>
    <t>calendar-insert + calendar-delete</t>
  </si>
  <si>
    <t>CalendarCreateHandler + CalendarDeleteHandler</t>
  </si>
  <si>
    <t>ValueDate/BusinessDayRule hesabı</t>
  </si>
  <si>
    <t>Holiday</t>
  </si>
  <si>
    <t>holiday-insert + holiday-delete</t>
  </si>
  <si>
    <t>HolidayCreateHandler + HolidayDeleteHandler</t>
  </si>
  <si>
    <t>Tatil kaydırma (AC-36 cut-off)</t>
  </si>
  <si>
    <t>HalfWorkingDay</t>
  </si>
  <si>
    <t>halfworkingday-insert</t>
  </si>
  <si>
    <t>CreateHalfWorkingDayHandler</t>
  </si>
  <si>
    <t>Yarım gün takvimi</t>
  </si>
  <si>
    <t>DefCountry</t>
  </si>
  <si>
    <t>Country</t>
  </si>
  <si>
    <t>country-insert</t>
  </si>
  <si>
    <t>CreateCountryHandler</t>
  </si>
  <si>
    <t>DefCollateralSecurityRule.CountryOfRiskCode</t>
  </si>
  <si>
    <t>DefCorporateType + DefCorporateDetailType</t>
  </si>
  <si>
    <t>CorporateType</t>
  </si>
  <si>
    <t>corporate-type-insert</t>
  </si>
  <si>
    <t>CreateCorporateTypeHandler ⚠️ TEK handler → İKİ tablo</t>
  </si>
  <si>
    <t>Karşı taraf tüzel kişilik tipi</t>
  </si>
  <si>
    <t>FXRate + FXRateDetail</t>
  </si>
  <si>
    <t>FXRate(Detail)</t>
  </si>
  <si>
    <t>fxrate-insert, fxratedetail-insert, fxratedetail-delete</t>
  </si>
  <si>
    <t>FxRateInsertHandler, FxRateDetailInsertHandler, FxRateDetailDeleteHandler</t>
  </si>
  <si>
    <t>🔑 FX dönüşümü + haircut hesabının temeli (doküman §8.1)</t>
  </si>
  <si>
    <t>KATMAN B / C / D — koşullu</t>
  </si>
  <si>
    <t>Katman</t>
  </si>
  <si>
    <t>Tablolar</t>
  </si>
  <si>
    <t>Koşul</t>
  </si>
  <si>
    <t>B (+2)</t>
  </si>
  <si>
    <t>ExternalCustomerMap, ExternalUserMap</t>
  </si>
  <si>
    <t>Collateral Fimple/muhasebe entegrasyonuna girerse. Faz-1'de muhasebe KAPSAM DIŞI (doküman §1.1) → muhtemelen gerekmez</t>
  </si>
  <si>
    <t>C (+5)</t>
  </si>
  <si>
    <t>InterestRate + InterestRateDetail · Chart + Point · Market + MarketCustomerMap + DefTxnType</t>
  </si>
  <si>
    <t>⚠️ TAHMİN: NPV/iskonto hesabı veya eğri/fiyat verisi gerekirse. Collateral değerlemesi fiyat × nominal × haircut olduğu için muhtemelen GEREKMİYOR</t>
  </si>
  <si>
    <t>D — AÇMA</t>
  </si>
  <si>
    <t>TaxTax/TaxRate/TaxRule/TaxType · DefBitMask · CusSIC · Branch · CurrencyPair · DefTaxOffice · DefLegalVehicle · UsrUserLayout …</t>
  </si>
  <si>
    <t>🔴 MM'de Tax topic'leri KAPALI (TaxRule tablosu 0 satır), diğerlerinin Consumer'ı hiç yok — seed/legacy taşıma</t>
  </si>
  <si>
    <t>Tablo sayısına etkisi</t>
  </si>
  <si>
    <t>Senaryo</t>
  </si>
  <si>
    <t>Referans kopyası</t>
  </si>
  <si>
    <t>Topic</t>
  </si>
  <si>
    <t>Collateral toplam tablo</t>
  </si>
  <si>
    <t>Katman A (önerilen)</t>
  </si>
  <si>
    <t>+12</t>
  </si>
  <si>
    <t>12</t>
  </si>
  <si>
    <t>13</t>
  </si>
  <si>
    <t>20 iş tablosu + 12 = **32**</t>
  </si>
  <si>
    <t>A + B (Fimple'lı)</t>
  </si>
  <si>
    <t>+14</t>
  </si>
  <si>
    <t>14</t>
  </si>
  <si>
    <t>15</t>
  </si>
  <si>
    <t>34</t>
  </si>
  <si>
    <t>Tam MM paritesi</t>
  </si>
  <si>
    <t>+19</t>
  </si>
  <si>
    <t>39</t>
  </si>
  <si>
    <t>⚠️ MM'in yapmadığı, Collateral'ın yapabileceği iyileştirme</t>
  </si>
  <si>
    <t>Sorun (MM'de ölçüldü)</t>
  </si>
  <si>
    <t>Öneri</t>
  </si>
  <si>
    <t>Consumer handler'ları doğrulama YAPMIYOR — exists-check → insert/update, o kadar. Bedeli ölçülmüş veri kalitesi sorunları: Currency.IsoCode tutarsız · Currency.BasisCode='SPOT' (DefDateBasis'te böyle bir değer yok) · CusCustomer.ExternalCustomerId mükerrer</t>
  </si>
  <si>
    <t>Collateral consumer'ına basit bir doğrulama katmanı ekle (zorunlu alan + FK varlık kontrolü + log). MM'in yapmadığı bir iyileştirme olur</t>
  </si>
  <si>
    <t>Topic adları appsettings'te değil, RequestCreatorFactory.cs içinde hardcode dictionary; her anahtar için ayrı Thread</t>
  </si>
  <si>
    <t>Aynı deseni kopyala (tutarlılık için) ama topic listesini sabit sınıfa almayı değerlendir</t>
  </si>
  <si>
    <t>Tablolar Arası İlişkiler (FK → PK)</t>
  </si>
  <si>
    <t>🔴 ÖLÇÜLDÜ: NetTrexMM'de 125 tabloya karşılık yalnız 14 fiziksel FK var (hepsi referans/tanım tablolarına, hepsi NO_ACTION) — işlem/detay/history tabloları arasında FK YOK, son 2 yılın hiçbir script'inde FOREIGN KEY geçmiyor. İlişkiler EF model tarafında (HasOne/WithMany) tanımlı. Aşağıdaki FK adları, yazılmasına karar verilirse kullanılacak ev kalıbıdır: FK_&lt;BağımlıTablo&gt;_&lt;HedefTablo&gt;_&lt;FkKolonu&gt; (EF default, 14/14 uyuyor) · ON DELETE yazma (NO_ACTION default) · CASCADE ev deseninde YOK.</t>
  </si>
  <si>
    <t>A) İç ilişkiler — Collateral'ın kendi tabloları</t>
  </si>
  <si>
    <t>Parent Tablo</t>
  </si>
  <si>
    <t>Parent PK</t>
  </si>
  <si>
    <t>Child Tablo</t>
  </si>
  <si>
    <t>Child FK Kolonu</t>
  </si>
  <si>
    <t>FK Constraint adı (yazılırsa)</t>
  </si>
  <si>
    <t>Kardinalite / not</t>
  </si>
  <si>
    <t>AnnexId</t>
  </si>
  <si>
    <t>FK_DefCollateralAnnexProductScope_DefCollateralAnnex_AnnexId</t>
  </si>
  <si>
    <t>1:N · ON DELETE NO ACTION</t>
  </si>
  <si>
    <t>ProductScopeId</t>
  </si>
  <si>
    <t>FK_DefCollateralAnnexMarginRule_DefCollateralAnnexProductScope_ProductScopeId</t>
  </si>
  <si>
    <t>1:N</t>
  </si>
  <si>
    <t>FK_DefCollateral_DefCollateralAnnex_AnnexId</t>
  </si>
  <si>
    <t>1:N opsiyonel (nullable — standalone definition)</t>
  </si>
  <si>
    <t>FK_DefCollateralEligibleCurrency_DefCollateral_DefinitionId</t>
  </si>
  <si>
    <t>1:N · Cash için en az 1 aktif satır</t>
  </si>
  <si>
    <t>FK_DefCollateralCashTerms_DefCollateral_DefinitionId</t>
  </si>
  <si>
    <t>1:0..1 · yalnız CASH</t>
  </si>
  <si>
    <t>FK_DefCollateralSecurityRule_DefCollateral_DefinitionId</t>
  </si>
  <si>
    <t>1:N · Security Scope = Rule</t>
  </si>
  <si>
    <t>FK_DefCollateralSecurityISIN_DefCollateral_DefinitionId</t>
  </si>
  <si>
    <t>1:N · Security Scope = Specific ISIN</t>
  </si>
  <si>
    <t>FK_DefCollateralSecurityTerms_DefCollateral_DefinitionId</t>
  </si>
  <si>
    <t>1:0..1 · yalnız SECURITY</t>
  </si>
  <si>
    <t>FK_DefCollateralSettlementMap_DefCollateral_DefinitionId</t>
  </si>
  <si>
    <t>FK_TxnCollateral_DefCollateral_DefinitionId</t>
  </si>
  <si>
    <t>1:N · 🔴 işlem varken definition silinemez</t>
  </si>
  <si>
    <t>FK_TxnCollateral_DefCollateralAnnex_AnnexId</t>
  </si>
  <si>
    <t>1:N opsiyonel</t>
  </si>
  <si>
    <t>FK_TxnCollateralCash_TxnCollateral_TxnId</t>
  </si>
  <si>
    <t>1:1 alt tip (CASH)</t>
  </si>
  <si>
    <t>FK_TxnCollateralSecurity_TxnCollateral_TxnId</t>
  </si>
  <si>
    <t>1:1 alt tip (SECURITY)</t>
  </si>
  <si>
    <t>FK_TxnCollateralValuation_TxnCollateral_TxnId</t>
  </si>
  <si>
    <t>1:N · immutable</t>
  </si>
  <si>
    <t>FK_TxnCollateralLimit_TxnCollateral_TxnId</t>
  </si>
  <si>
    <t>1:N · ENTRY/VERIFY</t>
  </si>
  <si>
    <t>FK_TxnCollateralPaymentInstruction_TxnCollateral_TxnId</t>
  </si>
  <si>
    <t>1:N (sürümlü), aktif sürüm 1 tane</t>
  </si>
  <si>
    <t>FK_TxnCollateralMessage_TxnCollateral_TxnId</t>
  </si>
  <si>
    <t>1:N · idempotent</t>
  </si>
  <si>
    <t>MessageId</t>
  </si>
  <si>
    <t>FK_TxnCollateralMessageEvent_TxnCollateralMessage_MessageId</t>
  </si>
  <si>
    <t>1:N · append-only</t>
  </si>
  <si>
    <t>ReversalOfId</t>
  </si>
  <si>
    <t>FK_TxnCollateral_TxnCollateral_ReversalOfId</t>
  </si>
  <si>
    <t>1:0..1 self</t>
  </si>
  <si>
    <t>FK_TxnCollateralPosition_DefCollateral_DefinitionId</t>
  </si>
  <si>
    <t>1:N · bakiye projeksiyonu</t>
  </si>
  <si>
    <t>(polymorphic)</t>
  </si>
  <si>
    <t>AggregateId + AggregateType</t>
  </si>
  <si>
    <t>❌ FK yazılamaz</t>
  </si>
  <si>
    <t>Polymorphic — gerçek FK constraint mümkün değil</t>
  </si>
  <si>
    <t>B) Dış bağımlılıklar — mevcut MM tabloları vs yeni gerekenler</t>
  </si>
  <si>
    <t>Hedef</t>
  </si>
  <si>
    <t>CustomerId (4 tabloda)</t>
  </si>
  <si>
    <t>CusCustomer.Id</t>
  </si>
  <si>
    <t>✅ MM'de VAR</t>
  </si>
  <si>
    <t>Counterparty = MM'in Customer kavramı. Tip: int (MM'in mevcut tipi)</t>
  </si>
  <si>
    <t>CurrencyCode (çok sayıda)</t>
  </si>
  <si>
    <t>nvarchar(3) doğal anahtar</t>
  </si>
  <si>
    <t>PortfolioId</t>
  </si>
  <si>
    <t>PrfPortfolio.Id</t>
  </si>
  <si>
    <t>🔑 Varsayılan portföy parametreden PATH ile çözülür, Code ile değil</t>
  </si>
  <si>
    <t>SettlementTypeId</t>
  </si>
  <si>
    <t>SettlementType.Id</t>
  </si>
  <si>
    <t>Değer kümesi örtüşüyor (Gross/Netting) — yeni tablo AÇMA</t>
  </si>
  <si>
    <t>PaymentInstructionTypeId</t>
  </si>
  <si>
    <t>PaymentInstructionType.Id</t>
  </si>
  <si>
    <t>B2B/A2A/Vostro/A2AD — yeni tablo AÇMA</t>
  </si>
  <si>
    <t>TraderUserId / StateMaker / CreatedBy</t>
  </si>
  <si>
    <t>Kullanıcı (nvarchar(80))</t>
  </si>
  <si>
    <t>✅ MM deseni</t>
  </si>
  <si>
    <t>MM ayrı User tablosuna FK vermiyor, string tutuyor</t>
  </si>
  <si>
    <t>ProductCode, SubProductCode</t>
  </si>
  <si>
    <t>Ürün kataloğu</t>
  </si>
  <si>
    <t>⚠️ NETLEŞMEDİ</t>
  </si>
  <si>
    <t>MM'in PrdProductDefinition'ı hazine ürün ailesi (FX/IR/Repo) için yeterli mi?</t>
  </si>
  <si>
    <t>SettlementAccountId, InterestAccountId</t>
  </si>
  <si>
    <t>Hesap master</t>
  </si>
  <si>
    <t>MM'de hesap Fimple'dan geliyor (AccountNumber/GLCode kolonları), ayrı master yok</t>
  </si>
  <si>
    <t>SsiId (5 kolonda)</t>
  </si>
  <si>
    <t>SSI master</t>
  </si>
  <si>
    <t>🔴 YENİ GEREKLİ</t>
  </si>
  <si>
    <t>MM'de yok. Collateral içinde mi, ortak modülde mi?</t>
  </si>
  <si>
    <t>ISIN, SecurityTypeCode, IssuerTypeCode, MinimumRatingCode</t>
  </si>
  <si>
    <t>Menkul kıymet master</t>
  </si>
  <si>
    <t>Collateral'ın en büyük dış bağımlılığı</t>
  </si>
  <si>
    <t>SettlementLocationCode</t>
  </si>
  <si>
    <t>CSD/ICSD kataloğu</t>
  </si>
  <si>
    <t>Takasbank/Euroclear/Clearstream</t>
  </si>
  <si>
    <t>PaymentRouteCode</t>
  </si>
  <si>
    <t>Ödeme rota konfigürasyonu</t>
  </si>
  <si>
    <t>pacs.009 / MT202 / local route seçimi</t>
  </si>
  <si>
    <t>ReferenceRateCode</t>
  </si>
  <si>
    <t>Referans oran kataloğu</t>
  </si>
  <si>
    <t>€STR/SOFR/SONIA/TLREF</t>
  </si>
  <si>
    <t>CountryOfRiskCode</t>
  </si>
  <si>
    <t>Ülke kataloğu</t>
  </si>
  <si>
    <t>⚠️ MM'de DefCountry var</t>
  </si>
  <si>
    <t>Kontrol edilmeli</t>
  </si>
  <si>
    <t>(doküman adı: collateral_annex)</t>
  </si>
  <si>
    <t>Annex ekranı ana tablosu — sözleşmesel çerçeve. Her değişiklik yeni revizyon satırı (AnnexCode + RevisionNo), mevcut satır UPDATE edilmez.</t>
  </si>
  <si>
    <t>DB NESNELERİ:</t>
  </si>
  <si>
    <t>Kolon Adı</t>
  </si>
  <si>
    <t>Null</t>
  </si>
  <si>
    <t>Default</t>
  </si>
  <si>
    <t>Index / Constraint</t>
  </si>
  <si>
    <t>No</t>
  </si>
  <si>
    <t>IDENTITY(1,1)</t>
  </si>
  <si>
    <t>🔑 v4: IDENTITY. EF config'te `.UseIdentityColumn()` AÇIKÇA yazılmalı — yazılmazsa EF convention'ı int PK'yı ValueGeneratedOnAdd sayıp insert'i patlatıyor (MM'de ProductDefinition Create yolu bu yüzden kırık)</t>
  </si>
  <si>
    <t>AnnexCode</t>
  </si>
  <si>
    <t>Kullanıcıya gösterilen sabit iş kodu</t>
  </si>
  <si>
    <t>RevisionNo</t>
  </si>
  <si>
    <t>int</t>
  </si>
  <si>
    <t>DEFAULT (1)</t>
  </si>
  <si>
    <t>Sözleşmesel revizyon no — 🔴 MM'de emsali olmayan yeni pattern</t>
  </si>
  <si>
    <t>AnnexName</t>
  </si>
  <si>
    <t>nvarchar(200)</t>
  </si>
  <si>
    <t>Açıklayıcı ad</t>
  </si>
  <si>
    <t>CustomerId</t>
  </si>
  <si>
    <t>Counterparty</t>
  </si>
  <si>
    <t>IsEnabled</t>
  </si>
  <si>
    <t>DF_DefCollateralAnnex_IsEnabled</t>
  </si>
  <si>
    <t>🔑 v4: `Status` (DRAFT/ACTIVE/INACTIVE) KALDIRILDI — DRAFT≈StateId 16, ACTIVE≈StateId 18, yani %70'i tekrardı. Karşılığı olmayan tek değer INACTIVE idi; onu MM'in standart `IsEnabled` deseni karşılıyor (23 tabloda var). Kullanılabilirlik testi: `(StateId &amp; 2) = 2 AND IsEnabled = 1`</t>
  </si>
  <si>
    <t>MasterAgreementText</t>
  </si>
  <si>
    <t>nvarchar(500)</t>
  </si>
  <si>
    <t>Free-format sözleşme adı</t>
  </si>
  <si>
    <t>CollateralDocumentText</t>
  </si>
  <si>
    <t>Free-format teminat dokümanı</t>
  </si>
  <si>
    <t>BaseCurrencyCode</t>
  </si>
  <si>
    <t>Raporlama/değerleme para birimi</t>
  </si>
  <si>
    <t>Direction</t>
  </si>
  <si>
    <t>nvarchar(20)</t>
  </si>
  <si>
    <t>BOTH / POST_ONLY / RECEIVE_ONLY</t>
  </si>
  <si>
    <t>ValidFrom</t>
  </si>
  <si>
    <t>Revizyon başlangıcı</t>
  </si>
  <si>
    <t>ValidTo</t>
  </si>
  <si>
    <t>Yes</t>
  </si>
  <si>
    <t>Boşsa açık uçlu · ValidTo &gt;= ValidFrom</t>
  </si>
  <si>
    <t>DisputeToleranceAmount</t>
  </si>
  <si>
    <t>DEFAULT (0)</t>
  </si>
  <si>
    <t>Uyuşmazlık toleransı</t>
  </si>
  <si>
    <t>DisputeToleranceCurrencyCode</t>
  </si>
  <si>
    <t>Tolerans para birimi</t>
  </si>
  <si>
    <t>StateId</t>
  </si>
  <si>
    <t>DEFAULT (18)</t>
  </si>
  <si>
    <t>DF_DefCollateralAnnex_StateId · IX_DefCollateralAnnex_StateId</t>
  </si>
  <si>
    <t>🔑 `int` — koddan doğrulandı: MakerCheckerEntity.StateId **int**, FlowEntity.StateId **long**. Maker-checker BITMASK; Draft/Active/Inactive iş durumu AYRI kolonda (Status)</t>
  </si>
  <si>
    <t>StateMaker</t>
  </si>
  <si>
    <t>DEFAULT ('system')</t>
  </si>
  <si>
    <t>DF_DefCollateralAnnex_StateMaker</t>
  </si>
  <si>
    <t>Son durum değişikliğini yapan kullanıcı (MakerCheckerEntity)</t>
  </si>
  <si>
    <t>StateDate</t>
  </si>
  <si>
    <t>DEFAULT (getdate())</t>
  </si>
  <si>
    <t>DF_DefCollateralAnnex_StateDate</t>
  </si>
  <si>
    <t>Son durum değişikliği zamanı (MakerCheckerEntity)</t>
  </si>
  <si>
    <t>DEFAULT (N'')</t>
  </si>
  <si>
    <t>DF_DefCollateralAnnex_CreatedBy</t>
  </si>
  <si>
    <t>⚠️ MakerCheckerEntity bu alanı DECLARE ETMİYOR — entity sınıfına elle eklenmeli (doküman §10 her tabloda created_by istiyor)</t>
  </si>
  <si>
    <t>DF_DefCollateralAnnex_CreatedDate</t>
  </si>
  <si>
    <t>⚠️ MakerCheckerEntity'de YOK — entity'ye elle eklenir</t>
  </si>
  <si>
    <t>(doküman adı: annex_product_scope)</t>
  </si>
  <si>
    <t>Add Product penceresi — Annex kapsamındaki Product + SubProduct + MarginType kombinasyonu.</t>
  </si>
  <si>
    <t>❌ History yok (parent revizyonu kapsıyor) · Id: bigint IDENTITY</t>
  </si>
  <si>
    <t>Kapsam satırı</t>
  </si>
  <si>
    <t>IX_DefCollateralAnnexProductScope_AnnexId</t>
  </si>
  <si>
    <t>DefCollateralAnnex.Id</t>
  </si>
  <si>
    <t>Annex revizyonu</t>
  </si>
  <si>
    <t>ProductCode</t>
  </si>
  <si>
    <t>⚠️ Ürün kataloğu (netleşmedi)</t>
  </si>
  <si>
    <t>FX / IR / Repo vb.</t>
  </si>
  <si>
    <t>SubProductCode</t>
  </si>
  <si>
    <t>⚠️ Ürün kataloğu</t>
  </si>
  <si>
    <t>Forward / NDF / takas vb.</t>
  </si>
  <si>
    <t>nvarchar(15)</t>
  </si>
  <si>
    <t>VM / IM / IA / OTHER</t>
  </si>
  <si>
    <t>IsIncluded</t>
  </si>
  <si>
    <t>DF_DefCollateralAnnexProductScope_IsIncluded</t>
  </si>
  <si>
    <t>Kapsam göstergesi — satır silinmez, pasifleştirilir</t>
  </si>
  <si>
    <t>(doküman adı: annex_margin_rule)</t>
  </si>
  <si>
    <t>Add Rule penceresi — seçili Product Scope satırı için Own/Counterparty bazlı Threshold/MTA/Rounding.</t>
  </si>
  <si>
    <t>❌ History yok · Id: bigint IDENTITY</t>
  </si>
  <si>
    <t>Kural kimliği</t>
  </si>
  <si>
    <t>DefCollateralAnnexProductScope.Id</t>
  </si>
  <si>
    <t>🔑 Pencereye bağlam olarak taşınır, kullanıcıdan istenmez</t>
  </si>
  <si>
    <t>OWN / COUNTERPARTY</t>
  </si>
  <si>
    <t>CurrencyCode</t>
  </si>
  <si>
    <t>Kural para birimi</t>
  </si>
  <si>
    <t>ThresholdAmount</t>
  </si>
  <si>
    <t>Teminatsız kabul edilen risk</t>
  </si>
  <si>
    <t>MtaAmount</t>
  </si>
  <si>
    <t>Minimum Transfer Amount</t>
  </si>
  <si>
    <t>RoundingAmount</t>
  </si>
  <si>
    <t>Yuvarlama adımı · &gt; 0</t>
  </si>
  <si>
    <t>nvarchar(12)</t>
  </si>
  <si>
    <t>NEAREST / UP / DOWN</t>
  </si>
  <si>
    <t>(doküman adı: collateral_definition)</t>
  </si>
  <si>
    <t>Definition ekranı ana tablosu — hangi nakit/menkul teminat kabul edilir. Her değişiklik yeni revizyon (CollateralCode + RevisionNo).</t>
  </si>
  <si>
    <t>CollateralCode</t>
  </si>
  <si>
    <t>Transaction ekranında seçilen kod</t>
  </si>
  <si>
    <t>Kural revizyonu</t>
  </si>
  <si>
    <t>CollateralName</t>
  </si>
  <si>
    <t>Null = standalone tanım</t>
  </si>
  <si>
    <t>Annex varsa kilitli gelir</t>
  </si>
  <si>
    <t>CASH / SECURITY — alt tabloları belirler</t>
  </si>
  <si>
    <t>DF_DefCollateral_IsEnabled</t>
  </si>
  <si>
    <t>🔑 v4: `Status` KALDIRILDI (DRAFT/ACTIVE StateId ile tekrar ediyordu). Yeni işlemde seçilebilirlik: `(StateId &amp; 2) = 2 AND IsEnabled = 1`</t>
  </si>
  <si>
    <t>EligibilityDirection</t>
  </si>
  <si>
    <t>ValuationCurrencyCode</t>
  </si>
  <si>
    <t>Eligible value para birimi</t>
  </si>
  <si>
    <t>ValidTo &gt;= ValidFrom</t>
  </si>
  <si>
    <t>DF_DefCollateral_StateId · IX_DefCollateral_StateId</t>
  </si>
  <si>
    <t>DF_DefCollateral_StateMaker</t>
  </si>
  <si>
    <t>DF_DefCollateral_StateDate</t>
  </si>
  <si>
    <t>DF_DefCollateral_CreatedBy</t>
  </si>
  <si>
    <t>DF_DefCollateral_CreatedDate</t>
  </si>
  <si>
    <t>(doküman adı: collateral_eligible_currency)</t>
  </si>
  <si>
    <t>Cash Definition için izinli işlem para birimleri.</t>
  </si>
  <si>
    <t>❌ History yok · Composite PK (Id kolonu YOK)</t>
  </si>
  <si>
    <t>DefCollateral.Id</t>
  </si>
  <si>
    <t>Composite PK #1</t>
  </si>
  <si>
    <t>(PK ile)</t>
  </si>
  <si>
    <t>Composite PK #2</t>
  </si>
  <si>
    <t>FxAdjustmentRate</t>
  </si>
  <si>
    <t>Sözleşmesel FX adjustment · 0..1</t>
  </si>
  <si>
    <t>IsActive</t>
  </si>
  <si>
    <t>Yeni işlemde seçilebilirlik</t>
  </si>
  <si>
    <t>(doküman adı: collateral_cash_terms)</t>
  </si>
  <si>
    <t>Cash Definition faiz paneli. Faz-1'de yalnız saklanır, tahakkuk motoru YOK (doküman §5.1.4).</t>
  </si>
  <si>
    <t>❌ History yok · PK = FK (ayrı Id kolonu YOK) · Satır opsiyonel (1:0..1)</t>
  </si>
  <si>
    <t>FLOATING / FIXED / INTEREST_FREE</t>
  </si>
  <si>
    <t>nvarchar(30)</t>
  </si>
  <si>
    <t>🔴 Referans oran kataloğu (yeni)</t>
  </si>
  <si>
    <t>FLOATING ise zorunlu</t>
  </si>
  <si>
    <t>SpreadBps</t>
  </si>
  <si>
    <t>⚠️ Baz puan — 150 = %1.5. Kesir mi ham bps mi, kod tarafında NET tanımla (100x hata riski)</t>
  </si>
  <si>
    <t>FixedRate</t>
  </si>
  <si>
    <t>FIXED ise zorunlu</t>
  </si>
  <si>
    <t>nvarchar(25)</t>
  </si>
  <si>
    <t>DAILY_COMPOUNDED / SIMPLE / NONE</t>
  </si>
  <si>
    <t>ACT_360 / ACT_365 / THIRTY_360</t>
  </si>
  <si>
    <t>MONTHLY / QUARTERLY / ON_RETURN</t>
  </si>
  <si>
    <t>MOD_FOLLOWING / FOLLOWING / PRECEDING</t>
  </si>
  <si>
    <t>IsNegativeRateAllowed</t>
  </si>
  <si>
    <t>Negatif referans oran davranışı</t>
  </si>
  <si>
    <t>(doküman adı: collateral_settlement_mapping)</t>
  </si>
  <si>
    <t>Cash veya Security Definition için settlement/hesap/SSI eşlemesi, TransactionType bazlı. "Map" soneki MM eşleme tablosu konvansiyonu.</t>
  </si>
  <si>
    <t>IX_DefCollateralSettlementMap_DefinitionId</t>
  </si>
  <si>
    <t>INCREASE / DECREASE</t>
  </si>
  <si>
    <t>Cash için</t>
  </si>
  <si>
    <t>nvarchar(40)</t>
  </si>
  <si>
    <t>🔴 CSD/ICSD kataloğu (yeni)</t>
  </si>
  <si>
    <t>Takasbank / Euroclear / Clearstream</t>
  </si>
  <si>
    <t>SettlementAccountId</t>
  </si>
  <si>
    <t>⚠️ Hesap master (netleşmedi)</t>
  </si>
  <si>
    <t>Nakit veya custody hesabı</t>
  </si>
  <si>
    <t>InterestAccountId</t>
  </si>
  <si>
    <t>⚠️ Hesap master</t>
  </si>
  <si>
    <t>Cash faiz hesabı</t>
  </si>
  <si>
    <t>SsiId</t>
  </si>
  <si>
    <t>🔴 SSI master (yeni)</t>
  </si>
  <si>
    <t>Standing settlement instruction</t>
  </si>
  <si>
    <t>🔴 Rota konfigürasyonu (yeni)</t>
  </si>
  <si>
    <t>pacs / non-CBPR+ / local</t>
  </si>
  <si>
    <t>(doküman adı: collateral_security_rule)</t>
  </si>
  <si>
    <t>Security Definition — kural bazlı menkul uygunluğu (Security Scope = Eligibility Rule).</t>
  </si>
  <si>
    <t>IX_DefCollateralSecurityRule_DefinitionId</t>
  </si>
  <si>
    <t>SecurityTypeCode</t>
  </si>
  <si>
    <t>🔴 Menkul master (yeni)</t>
  </si>
  <si>
    <t>Kabul edilen menkul sınıfı</t>
  </si>
  <si>
    <t>IssuerTypeCode</t>
  </si>
  <si>
    <t>Sovereign / Supranational / Bank / Corporate</t>
  </si>
  <si>
    <t>⚠️ DefCountry (MM'de var mı kontrol)</t>
  </si>
  <si>
    <t>ISO ülke kodu</t>
  </si>
  <si>
    <t>EligibleCurrencyCode</t>
  </si>
  <si>
    <t>İhraç para birimi</t>
  </si>
  <si>
    <t>MinimumRatingCode</t>
  </si>
  <si>
    <t>🔴 Rating master (yeni)</t>
  </si>
  <si>
    <t>En düşük kredi notu</t>
  </si>
  <si>
    <t>MaxRemainingMaturityDays</t>
  </si>
  <si>
    <t>Kalan vade sınırı · &gt; 0</t>
  </si>
  <si>
    <t>(doküman adı: collateral_security_isin)</t>
  </si>
  <si>
    <t>Security Definition — tekil uygun kıymet listesi (Security Scope = Specific ISIN).</t>
  </si>
  <si>
    <t>ISIN</t>
  </si>
  <si>
    <t>Composite PK #2 · ISO 6166, 12 karakter</t>
  </si>
  <si>
    <t>(doküman adı: collateral_security_terms)</t>
  </si>
  <si>
    <t>Security Definition değerleme/haircut paneli.</t>
  </si>
  <si>
    <t>MARKET_DATA / CUSTODIAN / MANUAL_APPROVED</t>
  </si>
  <si>
    <t>DIRTY / CLEAN_PLUS_ACCRUED</t>
  </si>
  <si>
    <t>FIXED / SCHEDULE / EXTERNAL</t>
  </si>
  <si>
    <t>AssetHaircutRate</t>
  </si>
  <si>
    <t>Varlık haircut · 0..1</t>
  </si>
  <si>
    <t>FxHaircutRate</t>
  </si>
  <si>
    <t>FX haircut · 0..1</t>
  </si>
  <si>
    <t>MinimumNominal</t>
  </si>
  <si>
    <t>En küçük kabul edilebilir nominal</t>
  </si>
  <si>
    <t>PASS_THROUGH / APPLY_EXPOSURE / PER_AGREEMENT</t>
  </si>
  <si>
    <t>nvarchar(35)</t>
  </si>
  <si>
    <t>INSTRUCTION_REQUIRED / AUTO_PASS_THROUGH</t>
  </si>
  <si>
    <t>(doküman adı: collateral_transaction)</t>
  </si>
  <si>
    <t>İşlem ekranı ana tablosu — Increase/Decrease ekonomik hareketi. MM'in TxnMM/TxnTawarruq emsaliyle birebir aynı audit bloğunu taşır.</t>
  </si>
  <si>
    <t>🔴 Id DefNumberGen'den (IDENTITY DEĞİL) — DefNumberGen satırı: Definition = 'Txn Collateral Id' · ✅ History + Trigger ZORUNLU · ✅ FlowSet + FlowTransition satırları · ✅ sp_UnverifiedDataCount_TxnCollateral + DefCountMonitoring · LogicalReference ayrı sayaçtan (sp_GetNewRefNumber)</t>
  </si>
  <si>
    <t>🔴 DefNumberGen</t>
  </si>
  <si>
    <t>🔴 IDENTITY DEĞİL — sayaçtan rezerve edilir (db-script.md §6)</t>
  </si>
  <si>
    <t>LogicalReference</t>
  </si>
  <si>
    <t>Sistem üretir: prefix + yön + tarih + sıra (sp_GetNewRefNumber). 🔑 Dokümanda yok, MM emsalinden eklendi (UQ_TxnMM_LogicalReference) — dokümanın logical_reference'ı farklı şey, o ExternalReference oldu</t>
  </si>
  <si>
    <t>TransactionReference</t>
  </si>
  <si>
    <t>nvarchar(60)</t>
  </si>
  <si>
    <t>Kullanıcıya gösterilen referans</t>
  </si>
  <si>
    <t>🔑 Kullanılan immutable Definition REVİZYONU</t>
  </si>
  <si>
    <t>Kullanılan immutable Annex revizyonu</t>
  </si>
  <si>
    <t>İşlem anındaki karşı taraf (snapshot)</t>
  </si>
  <si>
    <t>Muhasebe/raporlama portföyü</t>
  </si>
  <si>
    <t>SourceSystem</t>
  </si>
  <si>
    <t>Harici kaynak kodu</t>
  </si>
  <si>
    <t>ExternalReference</t>
  </si>
  <si>
    <t>nvarchar(100)</t>
  </si>
  <si>
    <t>Harici call/operasyon referansı — doküman: logical_reference. 🔑 Bizim LogicalReference ile KARIŞTIRMA</t>
  </si>
  <si>
    <t>TradeDate</t>
  </si>
  <si>
    <t>İşlem tarihi</t>
  </si>
  <si>
    <t>ValueDate</t>
  </si>
  <si>
    <t>(IX ile)</t>
  </si>
  <si>
    <t>Settlement tarihi</t>
  </si>
  <si>
    <t>InputDate</t>
  </si>
  <si>
    <t>Kaydın sisteme giriş zamanı</t>
  </si>
  <si>
    <t>CASH / SECURITY — hangi alt tip satırı olacağını belirler</t>
  </si>
  <si>
    <t>DEFAULT ('DRAFT')</t>
  </si>
  <si>
    <t>Settlement yaşam döngüsü (SENT/ACCEPTED/SETTLED...) — StateId'den AYRI, UI'da düzenlenmez</t>
  </si>
  <si>
    <t>EconomicVersion</t>
  </si>
  <si>
    <t>Reversal/amendment zinciri</t>
  </si>
  <si>
    <t>TxnCollateral.Id (self)</t>
  </si>
  <si>
    <t>Ters işlem ilişkisi</t>
  </si>
  <si>
    <t>Trader</t>
  </si>
  <si>
    <t>DEFAULT ('')</t>
  </si>
  <si>
    <t>İşlemi yapan dealer. 🔑 CreatedBy'dan AYRI bir iş alanı — MM TxnTawarruq emsali</t>
  </si>
  <si>
    <t>DF_TxnCollateral_StateId · IX_TxnCollateral_StateId</t>
  </si>
  <si>
    <t>Maker-checker BITMASK: 16 Input · 18 InputVerified · 17 InputRejected · 20 Delete · 22 DeleteVerified · 24 Edit (bkz 00_Sabitler)</t>
  </si>
  <si>
    <t>DF_TxnCollateral_StateMaker</t>
  </si>
  <si>
    <t>Son durum değişikliğini yapan kullanıcı</t>
  </si>
  <si>
    <t>DF_TxnCollateral_StateDate</t>
  </si>
  <si>
    <t>Son durum değişikliği zamanı</t>
  </si>
  <si>
    <t>DF_TxnCollateral_CreatedBy</t>
  </si>
  <si>
    <t>Kaydı ilk açan kullanıcı</t>
  </si>
  <si>
    <t>DF_TxnCollateral_CreatedDate</t>
  </si>
  <si>
    <t>İlk kayıt zamanı</t>
  </si>
  <si>
    <t>PreviousStateId</t>
  </si>
  <si>
    <t>Önceki durum</t>
  </si>
  <si>
    <t>PreviousStateMaker</t>
  </si>
  <si>
    <t>Önceki durumu yapan kullanıcı</t>
  </si>
  <si>
    <t>PreviousStateDate</t>
  </si>
  <si>
    <t>Önceki durum zamanı</t>
  </si>
  <si>
    <t>FlowId</t>
  </si>
  <si>
    <t>DF_TxnCollateral_FlowId</t>
  </si>
  <si>
    <t>FlowSet örnek kimliği — CollateralTransactionFlow (bkz 00_DB_Nesneleri)</t>
  </si>
  <si>
    <t>LastActionId</t>
  </si>
  <si>
    <t>DF_TxnCollateral_LastActionId</t>
  </si>
  <si>
    <t>Son uygulanan flow aksiyonu (2 Create · 4 Update · 8 Delete · 16 Verify · 32 Reject)</t>
  </si>
  <si>
    <t>PreviousActionId</t>
  </si>
  <si>
    <t>Bir önceki flow aksiyonu — FlowEntity.UpdateStates() bunu otomatik dolduruyor</t>
  </si>
  <si>
    <t>(doküman adı: collateral_cash_transaction)</t>
  </si>
  <si>
    <t>İşlem alt tipi — Cash. CollateralType = CASH ise bu satır vardır, Security satırı OLMAZ.</t>
  </si>
  <si>
    <t>❌ History yok (parent TxnCollateralHistory kapsıyor) · PK = FK TxnId · Ayrı Id kolonu YOK — MM TxnMMDetail emsali</t>
  </si>
  <si>
    <t>TxnCollateral.Id</t>
  </si>
  <si>
    <t>PK = FK · MM'in standart alt tablo FK adı</t>
  </si>
  <si>
    <t>Amount</t>
  </si>
  <si>
    <t>Transfer edilen nakit tutar · &gt; 0</t>
  </si>
  <si>
    <t>Settlement para birimi (Definition'ın izin verdiği listeden)</t>
  </si>
  <si>
    <t>CurrentBalanceBefore</t>
  </si>
  <si>
    <t>🔑 İşlem öncesi bakiye SNAPSHOT'ı — sonradan kanıt için</t>
  </si>
  <si>
    <t>Değerleme para birimi</t>
  </si>
  <si>
    <t>IsFxConversionRequired</t>
  </si>
  <si>
    <t>CurrencyCode &lt;&gt; ValuationCurrencyCode</t>
  </si>
  <si>
    <t>FxRate</t>
  </si>
  <si>
    <t>Valuation ccy / transaction ccy · &gt; 0</t>
  </si>
  <si>
    <t>0..1 · 🔑 Cash'te asset haircut YOK, yalnız FX adjustment</t>
  </si>
  <si>
    <t>TransactionValue</t>
  </si>
  <si>
    <t>Amount × FxRate (brüt)</t>
  </si>
  <si>
    <t>AdjustedEligibleValue</t>
  </si>
  <si>
    <t>TransactionValue × (1 − FxAdjustmentRate)</t>
  </si>
  <si>
    <t>(doküman adı: collateral_security_transaction)</t>
  </si>
  <si>
    <t>İşlem alt tipi — Security. CollateralType = SECURITY ise bu satır vardır, Cash satırı OLMAZ.</t>
  </si>
  <si>
    <t>❌ History yok · PK = FK TxnId · Ayrı Id kolonu YOK</t>
  </si>
  <si>
    <t>Teslim/alım konusu kıymet</t>
  </si>
  <si>
    <t>Nominal</t>
  </si>
  <si>
    <t>İşlem nominali · &gt; 0</t>
  </si>
  <si>
    <t>CurrentNominalBefore</t>
  </si>
  <si>
    <t>İşlem öncesi nominal snapshot</t>
  </si>
  <si>
    <t>Price</t>
  </si>
  <si>
    <t>Onaylı kaynaktan fiyat (snapshot)</t>
  </si>
  <si>
    <t>PriceDate</t>
  </si>
  <si>
    <t>Fiyatın iş tarihi</t>
  </si>
  <si>
    <t>PriceFactor</t>
  </si>
  <si>
    <t>DEFAULT (100)</t>
  </si>
  <si>
    <t>Tahvilde genellikle 100 · &gt; 0</t>
  </si>
  <si>
    <t>MarketValue</t>
  </si>
  <si>
    <t>Nominal × Price / PriceFactor (haircut öncesi)</t>
  </si>
  <si>
    <t>0..1 · işlem anı snapshot</t>
  </si>
  <si>
    <t>&gt; 0</t>
  </si>
  <si>
    <t>MarketValue × FxRate × (1−AssetHaircut) × (1−FxHaircut)</t>
  </si>
  <si>
    <t>(doküman adı: collateral_valuation_snapshot)</t>
  </si>
  <si>
    <t>Verify/EOD/Settlement anlarında kullanılan kur-fiyat-haircut-eligible value değerlerinin değiştirilemez kaydı. MM: TxnMMDailyCalculation / LoanRevaluation emsali.</t>
  </si>
  <si>
    <t>❌ History yok (zaten append-only/immutable) · Id: bigint IDENTITY · DefNumberGen GEREKMEZ</t>
  </si>
  <si>
    <t>SnapshotStage</t>
  </si>
  <si>
    <t>ENTRY / VERIFY / EOD / SETTLEMENT</t>
  </si>
  <si>
    <t>Kullanılan kur · &gt; 0</t>
  </si>
  <si>
    <t>RateConvention</t>
  </si>
  <si>
    <t>Örn. TRY_PER_EUR — kur yönünü kanıtlar</t>
  </si>
  <si>
    <t>Security fiyatı</t>
  </si>
  <si>
    <t>0..1</t>
  </si>
  <si>
    <t>0..1 (Cash)</t>
  </si>
  <si>
    <t>0..1 (Security)</t>
  </si>
  <si>
    <t>GrossValue</t>
  </si>
  <si>
    <t>Haircut/adjustment öncesi</t>
  </si>
  <si>
    <t>EligibleValue</t>
  </si>
  <si>
    <t>Net kabul edilebilir değer</t>
  </si>
  <si>
    <t>AsOfDate</t>
  </si>
  <si>
    <t>Snapshot zamanı</t>
  </si>
  <si>
    <t>SourceRefHash</t>
  </si>
  <si>
    <t>nvarchar(128)</t>
  </si>
  <si>
    <t>Kaynak verinin güvenli özeti</t>
  </si>
  <si>
    <t>(doküman adı: collateral_limit_snapshot)</t>
  </si>
  <si>
    <t>Limit servisinin ENTRY ve VERIFY anlarındaki kararının değiştirilemez kaydı. Verify blokajı blocking_flag'den gelir, ekran yorumlamaz.</t>
  </si>
  <si>
    <t>ENTRY / VERIFY</t>
  </si>
  <si>
    <t>CONTROL_ACTIVE / CONTROL_INACTIVE</t>
  </si>
  <si>
    <t>AVAILABLE / UNAVAILABLE / WARNING</t>
  </si>
  <si>
    <t>DecisionCode</t>
  </si>
  <si>
    <t>Limit servisinin karar kodu</t>
  </si>
  <si>
    <t>IsBlocking</t>
  </si>
  <si>
    <t>🔴 Verify blokajının TEK kaynağı</t>
  </si>
  <si>
    <t>Snapshot</t>
  </si>
  <si>
    <t>CustomerNo</t>
  </si>
  <si>
    <t>Limit sistemindeki müşteri no</t>
  </si>
  <si>
    <t>LimitCurrencyCode</t>
  </si>
  <si>
    <t>CountryLimit</t>
  </si>
  <si>
    <t>TotalLimit</t>
  </si>
  <si>
    <t>UsedLimit</t>
  </si>
  <si>
    <t>AvailableLimit</t>
  </si>
  <si>
    <t>UtilizationRate</t>
  </si>
  <si>
    <t>RiskAmount</t>
  </si>
  <si>
    <t>İşlemin limite etkisi — ön yüz tahmin etmez</t>
  </si>
  <si>
    <t>(doküman adı: collateral_payment_instruction)</t>
  </si>
  <si>
    <t>Near Payment Instructions — yön bazlı SSI çifti + gönderim seçenekleri, sürümlü. 🔑 SettlementType ve PaymentInstructionType MM'de ZATEN VAR olan tablolara FK — yeni tablo açma.</t>
  </si>
  <si>
    <t>❌ History yok (sürüm artışı yeni satır) · Id: bigint IDENTITY</t>
  </si>
  <si>
    <t>InstructionVersion</t>
  </si>
  <si>
    <t>Verify sonrası overwrite edilmez, yeni sürüm açılır</t>
  </si>
  <si>
    <t>✅ SettlementType.Id (MM'de VAR)</t>
  </si>
  <si>
    <t>Gross / Netting</t>
  </si>
  <si>
    <t>✅ PaymentInstructionType.Id (MM'de VAR)</t>
  </si>
  <si>
    <t>B2B / A2A / Vostro / A2AD</t>
  </si>
  <si>
    <t>WeSendSsiId</t>
  </si>
  <si>
    <t>DECREASE'de ZORUNLU</t>
  </si>
  <si>
    <t>TheyReceiveSsiId</t>
  </si>
  <si>
    <t>🔴 SSI master</t>
  </si>
  <si>
    <t>WeReceiveSsiId</t>
  </si>
  <si>
    <t>INCREASE'de ZORUNLU</t>
  </si>
  <si>
    <t>TheySendSsiId</t>
  </si>
  <si>
    <t>SendConfirmation</t>
  </si>
  <si>
    <t>SendPayment</t>
  </si>
  <si>
    <t>Yalnız DECREASE akışında aktif</t>
  </si>
  <si>
    <t>SendNoticeToReceive</t>
  </si>
  <si>
    <t>Yalnız INCREASE akışında aktif</t>
  </si>
  <si>
    <t>Instructions</t>
  </si>
  <si>
    <t>⚠️ MM'de benzer alan Fimple'a 250 karakter olarak gidiyor — uzunluk sınırını uçta doğrula</t>
  </si>
  <si>
    <t>(doküman adı: collateral_message)</t>
  </si>
  <si>
    <t>Üretilen ödeme/menkul mesajının başlık kaydı (pacs.009, MT202, sese.023, MT54x). MM: PaymentMessage + ExternalMM/SyncMessage deseninin muadili.</t>
  </si>
  <si>
    <t>❌ History yok · Id: bigint IDENTITY · 🔑 Outbox deseni: Verify ile AYNI DB transaction'ında yazılır</t>
  </si>
  <si>
    <t>IX_TxnCollateralMessage_TxnId</t>
  </si>
  <si>
    <t>PAYMENT / SECURITIES</t>
  </si>
  <si>
    <t>PACS009_CORE / MT202_NON_CBPR / SESE023 / MT54x — 🔑 kullanıcı seçmez, route belirler</t>
  </si>
  <si>
    <t>SETTLEMENT / CANCELLATION / CONFIRMATION</t>
  </si>
  <si>
    <t>BusinessService</t>
  </si>
  <si>
    <t>CBPR+ veya yerel servis adı</t>
  </si>
  <si>
    <t>SenderBic</t>
  </si>
  <si>
    <t>nvarchar(11)</t>
  </si>
  <si>
    <t>ReceiverBic</t>
  </si>
  <si>
    <t>🔑 İşlem tutarı gider, valuation tutarı GİTMEZ</t>
  </si>
  <si>
    <t>MessageIdentifier</t>
  </si>
  <si>
    <t>MsgId / sender reference</t>
  </si>
  <si>
    <t>InstructionId</t>
  </si>
  <si>
    <t>UETR</t>
  </si>
  <si>
    <t>uniqueidentifier</t>
  </si>
  <si>
    <t>🔑 SWIFT'in zorunlu kıldığı GERÇEK UUID — ev kuralının tek meşru istisnası</t>
  </si>
  <si>
    <t>CurrentStatus</t>
  </si>
  <si>
    <t>DEFAULT ('GENERATED')</t>
  </si>
  <si>
    <t>Son olaydan TÜRETİLİR (MessageEvent)</t>
  </si>
  <si>
    <t>GeneratedDate</t>
  </si>
  <si>
    <t>SentDate</t>
  </si>
  <si>
    <t>RawMessageRef</t>
  </si>
  <si>
    <t>nvarchar(250)</t>
  </si>
  <si>
    <t>Güvenli payload deposu referansı — payload DB'de tutulmaz</t>
  </si>
  <si>
    <t>RawMessageHash</t>
  </si>
  <si>
    <t>Bütünlük kontrolü</t>
  </si>
  <si>
    <t>RetryCount</t>
  </si>
  <si>
    <t>Teknik yeniden deneme — yeni talimat DEĞİL</t>
  </si>
  <si>
    <t>IdempotencyKey</t>
  </si>
  <si>
    <t>nvarchar(160)</t>
  </si>
  <si>
    <t>🔴 TxnId + EconomicVersion + MessagePurpose bileşimi</t>
  </si>
  <si>
    <t>(doküman adı: collateral_message_event)</t>
  </si>
  <si>
    <t>Kanal sonuçlarının append-only olay kaydı. 🔑 Accepted ile Settled AYNI ŞEY DEĞİL — her biri ayrı olaydır.</t>
  </si>
  <si>
    <t>❌ History yok (zaten append-only) · Id: bigint IDENTITY</t>
  </si>
  <si>
    <t>TxnCollateralMessage.Id</t>
  </si>
  <si>
    <t>EventType</t>
  </si>
  <si>
    <t>GENERATED / SENT / ACCEPTED / SETTLED / REJECTED / FAILED</t>
  </si>
  <si>
    <t>ChannelStatus</t>
  </si>
  <si>
    <t>Kanalın ham/normalize durum kodu</t>
  </si>
  <si>
    <t>OccurredDate</t>
  </si>
  <si>
    <t>Ağ/banka/CSD referansı</t>
  </si>
  <si>
    <t>ErrorCode</t>
  </si>
  <si>
    <t>ErrorText</t>
  </si>
  <si>
    <t>Maskelenmiş hata açıklaması</t>
  </si>
  <si>
    <t>PayloadHash</t>
  </si>
  <si>
    <t>CorrelationId</t>
  </si>
  <si>
    <t>(doküman adı: collateral_audit_log)</t>
  </si>
  <si>
    <t>Tüm aggregate'lerin kim/ne zaman/hangi değer değişikliği — append-only.</t>
  </si>
  <si>
    <t>❌ History yok (zaten log) · Id: bigint IDENTITY · ⚠️ MM'de polymorphic audit tablosu EMSALİ YOK — MM tablo başına &lt;Tablo&gt;History + trigger kullanıyor. Bu tablo History'nin YERİNE değil YANINA konumlanır: History = satır görüntüsü, AuditLog = olay + korelasyon.</t>
  </si>
  <si>
    <t>AggregateType</t>
  </si>
  <si>
    <t>ANNEX / DEFINITION / TRANSACTION / MESSAGE</t>
  </si>
  <si>
    <t>AggregateId</t>
  </si>
  <si>
    <t>❌ polymorphic — FK yazılamaz</t>
  </si>
  <si>
    <t>İlgili kaydın Id'si</t>
  </si>
  <si>
    <t>CREATE / UPDATE / VERIFY / SEND / SETTLE / REVERSE</t>
  </si>
  <si>
    <t>ActorUser</t>
  </si>
  <si>
    <t>Kullanıcı veya service account</t>
  </si>
  <si>
    <t>UTC olay zamanı</t>
  </si>
  <si>
    <t>BeforeData</t>
  </si>
  <si>
    <t>Değişiklik öncesi JSON (SQL Server'da jsonb yok)</t>
  </si>
  <si>
    <t>AfterData</t>
  </si>
  <si>
    <t>Değişiklik sonrası JSON</t>
  </si>
  <si>
    <t>İşlem-mesaj uçtan uca izleme</t>
  </si>
  <si>
    <t>SourceIp</t>
  </si>
  <si>
    <t>nvarchar(64)</t>
  </si>
  <si>
    <t>Maskelenir</t>
  </si>
  <si>
    <t>Channel</t>
  </si>
  <si>
    <t>UI / API / BATCH / ADAPTER</t>
  </si>
  <si>
    <t>(doküman adı: collateral_position)</t>
  </si>
  <si>
    <t>🔴 Bakiye projeksiyonu. Dokümanda yalnız kavramsal anılıyor ve kolonları verilmemiş — aşağıdaki kolonlar ÇIKARIMDIR. Zorunlu olma gerekçesi: AC-38 (eşzamanlı iki Decrease) ve AC-09 (bakiye aşımı) yalnız kilitlenebilir bir bakiye satırıyla deterministik olarak önlenebilir; ledger'dan her seferinde SUM almak hem yavaş hem yarış koşuluna açık. Kaynak gerçek DEĞİL — ledger'dan yeniden üretilebilir olmalı.</t>
  </si>
  <si>
    <t>🔴 v3'te OPSİYONEL DEĞİL ZORUNLU oldu · ❌ History yok · Composite PK (Id kolonu YOK) · Verify ile aynı transaction'da WITH (UPDLOCK, ROWLOCK) güncellenir</t>
  </si>
  <si>
    <t>Composite PK #1 (çıkarım)</t>
  </si>
  <si>
    <t>Composite PK #2 — VM/IM/IA/OTHER ayrı bakiyeler (doküman §7.3)</t>
  </si>
  <si>
    <t>AssetCode</t>
  </si>
  <si>
    <t>Composite PK #3 — Cash: CurrencyCode · Security: ISIN</t>
  </si>
  <si>
    <t>CASH / SECURITY — AssetCode'un hangisi olduğunu söyler</t>
  </si>
  <si>
    <t>CurrentBalance</t>
  </si>
  <si>
    <t>Verified/Settled hareketlerden türeyen güncel bakiye</t>
  </si>
  <si>
    <t>LastTxnId</t>
  </si>
  <si>
    <t>Bakiyeyi en son değiştiren işlem — yeniden üretim kontrolü</t>
  </si>
  <si>
    <t>Son güncelleme zamanı</t>
  </si>
  <si>
    <t>Collateral DB — UML / ER Diyagramı (canlı: kolonlar tablo sheet'lerinden formülle okunur)</t>
  </si>
  <si>
    <t>Renk:</t>
  </si>
  <si>
    <t>Annex grubu</t>
  </si>
  <si>
    <t>Definition grubu</t>
  </si>
  <si>
    <t>Log / polymorphic</t>
  </si>
  <si>
    <t>Anahtar</t>
  </si>
  <si>
    <t>Txn grubu</t>
  </si>
  <si>
    <t>İlişki listesi (canlı — 00_Iliskiler bölüm A'dan okunur)</t>
  </si>
  <si>
    <t>FK_TxnCollateralPosition_TxnCollateral_LastTxnId</t>
  </si>
  <si>
    <t>1:0..1 · son işleme opsiyonel referans</t>
  </si>
  <si>
    <t>Görsel bağlantı anahtarı — FK → PK</t>
  </si>
  <si>
    <t>Bağlantı</t>
  </si>
  <si>
    <t>Açık kolon eşleşmesi (Child.FK → Parent.PK)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</si>
  <si>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</si>
  <si>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</si>
  <si>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</si>
  <si>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</si>
  <si>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</si>
  <si>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</si>
  <si>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</si>
  <si>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</si>
  <si>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</si>
  <si>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</si>
  <si>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</si>
  <si>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R14</t>
  </si>
  <si>
    <t>R15</t>
  </si>
  <si>
    <t>R16</t>
  </si>
  <si>
    <t>R17</t>
  </si>
  <si>
    <t>R18</t>
  </si>
  <si>
    <t>R19</t>
  </si>
  <si>
    <t>R20</t>
  </si>
  <si>
    <t>SELF</t>
  </si>
  <si>
    <t>R12</t>
  </si>
  <si>
    <t>R13</t>
  </si>
  <si>
    <t>POLY</t>
  </si>
  <si>
    <t>Collateral Modülü — DB Şeması (v5)</t>
  </si>
  <si>
    <t>StateId maker-checker onay durumunu taşır. Annex/Definition için ayrı Status kaldırıldı; kullanılabilirlik `(StateId &amp; 2) = 2 AND IsEnabled = 1` ile belirlenir. TxnCollateral.LifecycleStatus ise ekonomik/settlement yaşam döngüsü olarak ayrı kalır.</t>
  </si>
  <si>
    <t>MM emsal script’inde fiziksel FK sınırlıdır; ilişkiler Excel’de açık FK → hedef PK eşleşmesi ve EF modeli seviyesinde gösterilir. DDL’de fiziksel FK yazılıp yazılmayacağı ayrı karar olarak korunur.</t>
  </si>
  <si>
    <t>Yalnız TxnCollateral</t>
  </si>
  <si>
    <t>DefNumberGen yalnız TxnCollateral.Id için açılır: Definition = 'Txn Collateral Id'. DefCollateralAnnex.Id ve DefCollateral.Id dahil diğer surrogate Id kolonları bigint IDENTITY(1,1); composite ve PK=FK tablolarda ayrı Id yoktur.</t>
  </si>
  <si>
    <t>✅ History + Trigger ZORUNLU (DefCollateralAnnexHistory + DefCollateralAnnexTrigger) · Id: bigint IDENTITY(1,1) · sp_UnverifiedDataCount + DefCountMonitoring (ekran rozetinde görünecekse)</t>
  </si>
  <si>
    <t>✅ History + Trigger ZORUNLU (DefCollateralHistory + DefCollateralTrigger) · Id: bigint IDENTITY(1,1) · sp_UnverifiedDataCount + DefCountMonitoring</t>
  </si>
  <si>
    <t>MakerChecker StateId (int, bitmask). Annex kullanılabilirliği `(StateId &amp; 2) = 2 AND IsEnabled = 1` ile belirlenir; ayrı Status kolonu yoktur.</t>
  </si>
  <si>
    <t>bigint IDENTITY(1,1). EF config’te `.UseIdentityColumn()` açıkça yazılmalı.</t>
  </si>
  <si>
    <t>DefCollateralAnnexMarginRule (ProductScopeId, Party, CurrencyCode)</t>
  </si>
  <si>
    <t>Aynı ürün kapsamı + taraf + para birimi için duplicate kuralı önler; geçerlilik parent Annex revizyonundan gelir.</t>
  </si>
  <si>
    <t>UQ1 · UQ_DefCollateralAnnex_AnnexCode</t>
  </si>
  <si>
    <t>(UQ1 ile birlikte)</t>
  </si>
  <si>
    <t>UQ1 · UQ_DefCollateralAnnexMarginRule_ProductScopeId</t>
  </si>
  <si>
    <t>UQ1 · UQ_DefCollateral_CollateralCode · IX_DefCollateral_CollateralCode</t>
  </si>
  <si>
    <t>UQ1 · UQ_TxnCollateral_LogicalReference</t>
  </si>
  <si>
    <t>UQ2 · UQ_TxnCollateral_TransactionReference</t>
  </si>
  <si>
    <t>UQ3 · UQ_TxnCollateral_SourceSystem</t>
  </si>
  <si>
    <t>(UQ3 ile birlikte)</t>
  </si>
  <si>
    <t>UQ1 · UQ_TxnCollateralLimit_TxnId</t>
  </si>
  <si>
    <t>UQ1 · UQ_TxnCollateralPaymentInstruction_TxnId</t>
  </si>
  <si>
    <t>UQ1 · UQ_TxnCollateralMessage_UETR (filtered)</t>
  </si>
  <si>
    <t>UQ2 · UQ_TxnCollateralMessage_IdempotencyKey</t>
  </si>
  <si>
    <t>Anahtar / Açık Eşleşme</t>
  </si>
  <si>
    <t>PK</t>
  </si>
  <si>
    <t>UQ1</t>
  </si>
  <si>
    <t>FK → CusCustomer.Id (PK)</t>
  </si>
  <si>
    <t>FK → Currency (doğal anahtar)</t>
  </si>
  <si>
    <t>FK Hedefi (FK → PK)</t>
  </si>
  <si>
    <t>FK → DefCollateralAnnex.Id (PK)</t>
  </si>
  <si>
    <t>Mantıksal FK → ️ Ürün kataloğu (netleşmedi)</t>
  </si>
  <si>
    <t>Mantıksal FK → ️ Ürün kataloğu</t>
  </si>
  <si>
    <t>UQ1 + FK → DefCollateralAnnexProductScope.Id (PK)</t>
  </si>
  <si>
    <t>UQ1 + FK → Currency (doğal anahtar)</t>
  </si>
  <si>
    <t>PK + FK → DefCollateral.Id (PK)</t>
  </si>
  <si>
    <t>PK + FK → Currency (doğal anahtar)</t>
  </si>
  <si>
    <t>Mantıksal FK → _xDD34_ Referans oran kataloğu (yeni)</t>
  </si>
  <si>
    <t>FK → DefCollateral.Id (PK)</t>
  </si>
  <si>
    <t>Mantıksal FK → _xDD34_ CSD/ICSD kataloğu (yeni)</t>
  </si>
  <si>
    <t>Mantıksal FK → ️ Hesap master (netleşmedi)</t>
  </si>
  <si>
    <t>Mantıksal FK → ️ Hesap master</t>
  </si>
  <si>
    <t>Mantıksal FK → _xDD34_ SSI master (yeni)</t>
  </si>
  <si>
    <t>Mantıksal FK → _xDD34_ Rota konfigürasyonu (yeni)</t>
  </si>
  <si>
    <t>Mantıksal FK → _xDD34_ Menkul master (yeni)</t>
  </si>
  <si>
    <t>Mantıksal FK → ️ DefCountry (MM'de var mı kontrol)</t>
  </si>
  <si>
    <t>Mantıksal FK → _xDD34_ Rating master (yeni)</t>
  </si>
  <si>
    <t>PK + Mantıksal FK → _xDD34_ Menkul master (yeni)</t>
  </si>
  <si>
    <t>UQ2</t>
  </si>
  <si>
    <t>FK → PrfPortfolio.Id (PK)</t>
  </si>
  <si>
    <t>UQ3</t>
  </si>
  <si>
    <t>FK → TxnCollateral.Id (self) (PK)</t>
  </si>
  <si>
    <t>PK + FK → TxnCollateral.Id (PK)</t>
  </si>
  <si>
    <t>FK → TxnCollateral.Id (PK)</t>
  </si>
  <si>
    <t>UQ1 + FK → TxnCollateral.Id (PK)</t>
  </si>
  <si>
    <t>FK → ✅ SettlementType.Id (MM'de VAR) (PK)</t>
  </si>
  <si>
    <t>FK → ✅ PaymentInstructionType.Id (MM'de VAR) (PK)</t>
  </si>
  <si>
    <t>Mantıksal FK → _xDD34_ SSI master</t>
  </si>
  <si>
    <t>FK → TxnCollateralMessage.Id (PK)</t>
  </si>
  <si>
    <t>POLY → ❌ polymorphic — FK yazılamaz</t>
  </si>
  <si>
    <t>v5</t>
  </si>
  <si>
    <t>Kimlik ve ilişki gösterimi tutarlılık düzeltmesi:
• DefNumberGen yalnız TxnCollateral.Id için bırakıldı; diğer surrogate Id kolonları IDENTITY olarak kesinleştirildi.
• 20 tablo sheet’ine açık PK/FK/UQ ve FK → hedef PK eşleşme kolonu eklendi.
• Composite UQ alanları UQ1/UQ2/UQ3 grup etiketiyle gösterildi.
• MarginRule UQ’dan kaldırılmış ValidFrom çıkarıldı.
• v4’ten kalan Status ve ID üretimi çelişkileri temizlendi.</t>
  </si>
  <si>
    <t>Kullanıcı, güncel IDENTITY kararının tüm sheet’lerde uygulanmasını ve UML’deki açık anahtar eşleşmelerinin tablo sheet’lerinde de görünmesini istedi.</t>
  </si>
  <si>
    <t>Her geliştirme yeni sürüm olarak buraya işlenir. Güncel sürüm: v5 (2026-10-06).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</si>
</sst>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0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1F3864"/>
      <name val="Calibri"/>
    </font>
    <font>
      <b/>
      <sz val="15"/>
      <color rgb="FF1F3864"/>
      <name val="Calibri"/>
    </font>
    <font>
      <b/>
      <sz val="14"/>
      <color rgb="FF1F3864"/>
      <name val="Calibri"/>
    </font>
    <font>
      <b/>
      <sz val="11"/>
      <name val="Calibri"/>
    </font>
    <font>
      <sz val="11"/>
      <color rgb="FFC00000"/>
      <name val="Calibri"/>
    </font>
    <font>
      <sz val="9"/>
      <color theme="1"/>
      <name val="Segoe UI"/>
    </font>
    <font>
      <b/>
      <sz val="14"/>
      <color theme="1"/>
      <name val="Segoe UI"/>
    </font>
    <font>
      <b/>
      <sz val="9"/>
      <color rgb="FFFFFFFF"/>
      <name val="Segoe UI"/>
    </font>
    <font>
      <b/>
      <sz val="9"/>
      <color theme="1"/>
      <name val="Segoe UI"/>
    </font>
    <font>
      <b/>
      <sz val="10"/>
      <color rgb="FFFFFFFF"/>
      <name val="Calibri"/>
      <family val="2"/>
      <scheme val="minor"/>
    </font>
    <font>
      <sz val="9"/>
      <color rgb="FF7F7F7F"/>
      <name val="Segoe UI"/>
    </font>
    <font>
      <b/>
      <sz val="10"/>
      <color rgb="FFFFFFFF"/>
      <name val="Segoe UI"/>
    </font>
    <font>
      <b/>
      <sz val="9"/>
      <color rgb="FF843C0C"/>
      <name val="Segoe UI"/>
    </font>
    <font>
      <b/>
      <sz val="11"/>
      <color rgb="FFFFFFFF"/>
      <name val="Aptos"/>
    </font>
    <font>
      <b/>
      <sz val="9"/>
      <color rgb="FFFFFFFF"/>
      <name val="Aptos"/>
    </font>
    <font>
      <b/>
      <sz val="9"/>
      <color rgb="FF843C0C"/>
      <name val="Aptos"/>
    </font>
    <font>
      <sz val="9"/>
      <color theme="1"/>
      <name val="Aptos"/>
    </font>
    <font>
      <b/>
      <sz val="9"/>
      <color rgb="FF5F497A"/>
      <name val="Segoe UI"/>
    </font>
    <font>
      <b/>
      <sz val="8"/>
      <color theme="1"/>
      <name val="Segoe UI"/>
    </font>
    <font>
      <b/>
      <sz val="8"/>
      <color rgb="FF1F4E78"/>
      <name val="Segoe UI"/>
    </font>
    <font>
      <b/>
      <sz val="8"/>
      <color rgb="FF843C0C"/>
      <name val="Segoe UI"/>
    </font>
    <font>
      <sz val="8"/>
      <color theme="1"/>
      <name val="Segoe UI"/>
    </font>
    <font>
      <b/>
      <sz val="8"/>
      <color rgb="FFFFFFFF"/>
      <name val="Calibri"/>
      <family val="2"/>
      <scheme val="minor"/>
    </font>
    <font>
      <b/>
      <sz val="8"/>
      <color rgb="FF375623"/>
      <name val="Segoe UI"/>
    </font>
    <font>
      <b/>
      <sz val="11"/>
      <color rgb="FFFFFF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5B2C6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E2F0D9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5B2C6F"/>
      </top>
      <bottom/>
      <diagonal/>
    </border>
    <border>
      <left style="medium">
        <color rgb="FF5B2C6F"/>
      </left>
      <right/>
      <top style="medium">
        <color rgb="FF5B2C6F"/>
      </top>
      <bottom/>
      <diagonal/>
    </border>
    <border>
      <left/>
      <right style="medium">
        <color rgb="FF5B2C6F"/>
      </right>
      <top style="medium">
        <color rgb="FF5B2C6F"/>
      </top>
      <bottom/>
      <diagonal/>
    </border>
    <border>
      <left style="medium">
        <color rgb="FF5B2C6F"/>
      </left>
      <right/>
      <top/>
      <bottom style="medium">
        <color rgb="FF5B2C6F"/>
      </bottom>
      <diagonal/>
    </border>
    <border>
      <left/>
      <right/>
      <top/>
      <bottom style="medium">
        <color rgb="FF5B2C6F"/>
      </bottom>
      <diagonal/>
    </border>
    <border>
      <left/>
      <right style="medium">
        <color rgb="FF5B2C6F"/>
      </right>
      <top/>
      <bottom style="medium">
        <color rgb="FF5B2C6F"/>
      </bottom>
      <diagonal/>
    </border>
    <border>
      <left/>
      <right/>
      <top style="medium">
        <color rgb="FF1F4E79"/>
      </top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/>
      <right/>
      <top style="medium">
        <color rgb="FF375623"/>
      </top>
      <bottom/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 style="medium">
        <color rgb="FF375623"/>
      </left>
      <right/>
      <top/>
      <bottom style="medium">
        <color rgb="FF375623"/>
      </bottom>
      <diagonal/>
    </border>
    <border>
      <left/>
      <right/>
      <top/>
      <bottom style="medium">
        <color rgb="FF375623"/>
      </bottom>
      <diagonal/>
    </border>
    <border>
      <left/>
      <right style="medium">
        <color rgb="FF375623"/>
      </right>
      <top/>
      <bottom style="medium">
        <color rgb="FF375623"/>
      </bottom>
      <diagonal/>
    </border>
    <border>
      <left/>
      <right/>
      <top style="medium">
        <color rgb="FF595959"/>
      </top>
      <bottom/>
      <diagonal/>
    </border>
    <border>
      <left style="medium">
        <color rgb="FF595959"/>
      </left>
      <right/>
      <top style="medium">
        <color rgb="FF595959"/>
      </top>
      <bottom/>
      <diagonal/>
    </border>
    <border>
      <left/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/>
      <top/>
      <bottom style="medium">
        <color rgb="FF595959"/>
      </bottom>
      <diagonal/>
    </border>
    <border>
      <left/>
      <right/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13" fillId="0" borderId="0" xfId="0" applyFont="1"/>
    <xf numFmtId="0" fontId="13" fillId="8" borderId="5" xfId="0" applyFont="1" applyFill="1" applyBorder="1"/>
    <xf numFmtId="0" fontId="13" fillId="8" borderId="6" xfId="0" applyFont="1" applyFill="1" applyBorder="1"/>
    <xf numFmtId="0" fontId="13" fillId="8" borderId="7" xfId="0" applyFont="1" applyFill="1" applyBorder="1"/>
    <xf numFmtId="0" fontId="10" fillId="0" borderId="0" xfId="0" applyFont="1" applyAlignment="1">
      <alignment horizontal="center"/>
    </xf>
    <xf numFmtId="0" fontId="15" fillId="0" borderId="0" xfId="0" applyFont="1"/>
    <xf numFmtId="0" fontId="13" fillId="9" borderId="11" xfId="0" applyFont="1" applyFill="1" applyBorder="1"/>
    <xf numFmtId="0" fontId="13" fillId="9" borderId="12" xfId="0" applyFont="1" applyFill="1" applyBorder="1"/>
    <xf numFmtId="0" fontId="13" fillId="9" borderId="13" xfId="0" applyFont="1" applyFill="1" applyBorder="1"/>
    <xf numFmtId="0" fontId="13" fillId="10" borderId="17" xfId="0" applyFont="1" applyFill="1" applyBorder="1"/>
    <xf numFmtId="0" fontId="13" fillId="10" borderId="18" xfId="0" applyFont="1" applyFill="1" applyBorder="1"/>
    <xf numFmtId="0" fontId="13" fillId="10" borderId="19" xfId="0" applyFont="1" applyFill="1" applyBorder="1"/>
    <xf numFmtId="0" fontId="13" fillId="11" borderId="23" xfId="0" applyFont="1" applyFill="1" applyBorder="1"/>
    <xf numFmtId="0" fontId="13" fillId="11" borderId="24" xfId="0" applyFont="1" applyFill="1" applyBorder="1"/>
    <xf numFmtId="0" fontId="13" fillId="11" borderId="25" xfId="0" applyFont="1" applyFill="1" applyBorder="1"/>
    <xf numFmtId="0" fontId="12" fillId="13" borderId="0" xfId="0" applyFont="1" applyFill="1"/>
    <xf numFmtId="0" fontId="12" fillId="14" borderId="0" xfId="0" applyFont="1" applyFill="1"/>
    <xf numFmtId="0" fontId="10" fillId="15" borderId="0" xfId="0" applyFont="1" applyFill="1"/>
    <xf numFmtId="0" fontId="10" fillId="16" borderId="0" xfId="0" applyFont="1" applyFill="1"/>
    <xf numFmtId="0" fontId="10" fillId="17" borderId="0" xfId="0" applyFont="1" applyFill="1"/>
    <xf numFmtId="0" fontId="17" fillId="18" borderId="0" xfId="0" applyFont="1" applyFill="1" applyAlignment="1">
      <alignment horizontal="center"/>
    </xf>
    <xf numFmtId="0" fontId="19" fillId="13" borderId="0" xfId="0" applyFont="1" applyFill="1"/>
    <xf numFmtId="0" fontId="20" fillId="18" borderId="0" xfId="0" applyFont="1" applyFill="1" applyAlignment="1">
      <alignment horizontal="center"/>
    </xf>
    <xf numFmtId="0" fontId="21" fillId="19" borderId="0" xfId="0" applyFont="1" applyFill="1"/>
    <xf numFmtId="0" fontId="12" fillId="12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12" fillId="20" borderId="0" xfId="0" applyFont="1" applyFill="1" applyAlignment="1">
      <alignment horizontal="center"/>
    </xf>
    <xf numFmtId="0" fontId="23" fillId="8" borderId="6" xfId="0" applyFont="1" applyFill="1" applyBorder="1" applyAlignment="1">
      <alignment shrinkToFit="1"/>
    </xf>
    <xf numFmtId="0" fontId="24" fillId="15" borderId="0" xfId="0" applyFont="1" applyFill="1" applyAlignment="1">
      <alignment shrinkToFit="1"/>
    </xf>
    <xf numFmtId="0" fontId="25" fillId="16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23" fillId="0" borderId="0" xfId="0" applyFont="1" applyAlignment="1">
      <alignment shrinkToFit="1"/>
    </xf>
    <xf numFmtId="0" fontId="23" fillId="9" borderId="12" xfId="0" applyFont="1" applyFill="1" applyBorder="1" applyAlignment="1">
      <alignment shrinkToFit="1"/>
    </xf>
    <xf numFmtId="0" fontId="28" fillId="21" borderId="0" xfId="0" applyFont="1" applyFill="1" applyAlignment="1">
      <alignment shrinkToFit="1"/>
    </xf>
    <xf numFmtId="0" fontId="23" fillId="10" borderId="18" xfId="0" applyFont="1" applyFill="1" applyBorder="1" applyAlignment="1">
      <alignment shrinkToFit="1"/>
    </xf>
    <xf numFmtId="0" fontId="23" fillId="11" borderId="24" xfId="0" applyFont="1" applyFill="1" applyBorder="1" applyAlignment="1">
      <alignment shrinkToFit="1"/>
    </xf>
    <xf numFmtId="0" fontId="29" fillId="12" borderId="1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/>
    </xf>
    <xf numFmtId="0" fontId="27" fillId="5" borderId="8" xfId="0" applyFont="1" applyFill="1" applyBorder="1" applyAlignment="1">
      <alignment horizontal="center" shrinkToFit="1"/>
    </xf>
    <xf numFmtId="0" fontId="14" fillId="5" borderId="8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6" borderId="15" xfId="0" applyFont="1" applyFill="1" applyBorder="1" applyAlignment="1">
      <alignment horizontal="center"/>
    </xf>
    <xf numFmtId="0" fontId="27" fillId="6" borderId="14" xfId="0" applyFont="1" applyFill="1" applyBorder="1" applyAlignment="1">
      <alignment horizontal="center" shrinkToFit="1"/>
    </xf>
    <xf numFmtId="0" fontId="14" fillId="6" borderId="14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27" fillId="4" borderId="2" xfId="0" applyFont="1" applyFill="1" applyBorder="1" applyAlignment="1">
      <alignment horizontal="center" shrinkToFit="1"/>
    </xf>
    <xf numFmtId="0" fontId="14" fillId="7" borderId="21" xfId="0" applyFont="1" applyFill="1" applyBorder="1" applyAlignment="1">
      <alignment horizontal="center"/>
    </xf>
    <xf numFmtId="0" fontId="14" fillId="7" borderId="20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/>
    </xf>
    <xf numFmtId="0" fontId="16" fillId="12" borderId="0" xfId="0" applyFont="1" applyFill="1"/>
    <xf numFmtId="0" fontId="18" fillId="12" borderId="0" xfId="0" applyFont="1" applyFill="1"/>
    <xf numFmtId="0" fontId="2" fillId="0" borderId="0" xfId="0" applyFont="1"/>
    <xf numFmtId="0" fontId="5" fillId="3" borderId="0" xfId="0" applyFont="1" applyFill="1"/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61"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00FF"/>
      </font>
    </dxf>
    <dxf>
      <font>
        <b/>
        <i val="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100965</xdr:rowOff>
    </xdr:from>
    <xdr:to>
      <xdr:col>6</xdr:col>
      <xdr:colOff>1904</xdr:colOff>
      <xdr:row>5</xdr:row>
      <xdr:rowOff>100965</xdr:rowOff>
    </xdr:to>
    <xdr:cxnSp macro="">
      <xdr:nvCxnSpPr>
        <xdr:cNvPr id="3" name="UML_Rel_1">
          <a:extLst>
            <a:ext uri="{FF2B5EF4-FFF2-40B4-BE49-F238E27FC236}">
              <a16:creationId xmlns:a16="http://schemas.microsoft.com/office/drawing/2014/main" id="{FDA35F37-7569-4947-BCBC-EC0C4E8277A6}"/>
            </a:ext>
          </a:extLst>
        </xdr:cNvPr>
        <xdr:cNvCxnSpPr/>
      </xdr:nvCxnSpPr>
      <xdr:spPr>
        <a:xfrm>
          <a:off x="5829300" y="1268730"/>
          <a:ext cx="1630679" cy="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4</xdr:row>
      <xdr:rowOff>27305</xdr:rowOff>
    </xdr:from>
    <xdr:to>
      <xdr:col>5</xdr:col>
      <xdr:colOff>794004</xdr:colOff>
      <xdr:row>5</xdr:row>
      <xdr:rowOff>157480</xdr:rowOff>
    </xdr:to>
    <xdr:sp macro="" textlink="">
      <xdr:nvSpPr>
        <xdr:cNvPr id="4" name="UML_Lbl_1">
          <a:extLst>
            <a:ext uri="{FF2B5EF4-FFF2-40B4-BE49-F238E27FC236}">
              <a16:creationId xmlns:a16="http://schemas.microsoft.com/office/drawing/2014/main" id="{B796E03D-02E3-FF8B-EB8D-CEBF6320ACE3}"/>
            </a:ext>
          </a:extLst>
        </xdr:cNvPr>
        <xdr:cNvSpPr txBox="1"/>
      </xdr:nvSpPr>
      <xdr:spPr>
        <a:xfrm>
          <a:off x="5962904" y="1103630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R01
1:N</a:t>
          </a:r>
        </a:p>
      </xdr:txBody>
    </xdr:sp>
    <xdr:clientData/>
  </xdr:twoCellAnchor>
  <xdr:twoCellAnchor>
    <xdr:from>
      <xdr:col>1</xdr:col>
      <xdr:colOff>508000</xdr:colOff>
      <xdr:row>13</xdr:row>
      <xdr:rowOff>22860</xdr:rowOff>
    </xdr:from>
    <xdr:to>
      <xdr:col>1</xdr:col>
      <xdr:colOff>508000</xdr:colOff>
      <xdr:row>18</xdr:row>
      <xdr:rowOff>30479</xdr:rowOff>
    </xdr:to>
    <xdr:cxnSp macro="">
      <xdr:nvCxnSpPr>
        <xdr:cNvPr id="5" name="UML_Rel_2">
          <a:extLst>
            <a:ext uri="{FF2B5EF4-FFF2-40B4-BE49-F238E27FC236}">
              <a16:creationId xmlns:a16="http://schemas.microsoft.com/office/drawing/2014/main" id="{3302AEFB-1023-46AA-B732-D3D436DC45F6}"/>
            </a:ext>
          </a:extLst>
        </xdr:cNvPr>
        <xdr:cNvCxnSpPr/>
      </xdr:nvCxnSpPr>
      <xdr:spPr>
        <a:xfrm flipV="1">
          <a:off x="664210" y="2647950"/>
          <a:ext cx="0" cy="923924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167640</xdr:colOff>
      <xdr:row>15</xdr:row>
      <xdr:rowOff>45974</xdr:rowOff>
    </xdr:from>
    <xdr:to>
      <xdr:col>2</xdr:col>
      <xdr:colOff>197485</xdr:colOff>
      <xdr:row>17</xdr:row>
      <xdr:rowOff>14224</xdr:rowOff>
    </xdr:to>
    <xdr:sp macro="" textlink="">
      <xdr:nvSpPr>
        <xdr:cNvPr id="6" name="UML_Lbl_2">
          <a:extLst>
            <a:ext uri="{FF2B5EF4-FFF2-40B4-BE49-F238E27FC236}">
              <a16:creationId xmlns:a16="http://schemas.microsoft.com/office/drawing/2014/main" id="{4B634989-9CFA-3A40-7B7E-5A2DBCC75FF6}"/>
            </a:ext>
          </a:extLst>
        </xdr:cNvPr>
        <xdr:cNvSpPr txBox="1"/>
      </xdr:nvSpPr>
      <xdr:spPr>
        <a:xfrm>
          <a:off x="320040" y="3141599"/>
          <a:ext cx="658495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R02
1:N</a:t>
          </a:r>
        </a:p>
      </xdr:txBody>
    </xdr:sp>
    <xdr:clientData/>
  </xdr:twoCellAnchor>
  <xdr:twoCellAnchor>
    <xdr:from>
      <xdr:col>6</xdr:col>
      <xdr:colOff>480097</xdr:colOff>
      <xdr:row>26</xdr:row>
      <xdr:rowOff>60512</xdr:rowOff>
    </xdr:from>
    <xdr:to>
      <xdr:col>6</xdr:col>
      <xdr:colOff>480097</xdr:colOff>
      <xdr:row>31</xdr:row>
      <xdr:rowOff>71942</xdr:rowOff>
    </xdr:to>
    <xdr:cxnSp macro="">
      <xdr:nvCxnSpPr>
        <xdr:cNvPr id="7" name="UML_Rel_3">
          <a:extLst>
            <a:ext uri="{FF2B5EF4-FFF2-40B4-BE49-F238E27FC236}">
              <a16:creationId xmlns:a16="http://schemas.microsoft.com/office/drawing/2014/main" id="{8DCEC901-5007-470A-8764-F693CC5652BB}"/>
            </a:ext>
          </a:extLst>
        </xdr:cNvPr>
        <xdr:cNvCxnSpPr/>
      </xdr:nvCxnSpPr>
      <xdr:spPr>
        <a:xfrm flipV="1">
          <a:off x="7932009" y="5058336"/>
          <a:ext cx="0" cy="919106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28</xdr:row>
      <xdr:rowOff>55499</xdr:rowOff>
    </xdr:from>
    <xdr:to>
      <xdr:col>7</xdr:col>
      <xdr:colOff>201295</xdr:colOff>
      <xdr:row>30</xdr:row>
      <xdr:rowOff>23749</xdr:rowOff>
    </xdr:to>
    <xdr:sp macro="" textlink="">
      <xdr:nvSpPr>
        <xdr:cNvPr id="8" name="UML_Lbl_3">
          <a:extLst>
            <a:ext uri="{FF2B5EF4-FFF2-40B4-BE49-F238E27FC236}">
              <a16:creationId xmlns:a16="http://schemas.microsoft.com/office/drawing/2014/main" id="{7BC2D63E-7158-2830-77DB-4623639A6FFC}"/>
            </a:ext>
          </a:extLst>
        </xdr:cNvPr>
        <xdr:cNvSpPr txBox="1"/>
      </xdr:nvSpPr>
      <xdr:spPr>
        <a:xfrm>
          <a:off x="7629525" y="5541899"/>
          <a:ext cx="658495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R03
0..1:N</a:t>
          </a:r>
        </a:p>
      </xdr:txBody>
    </xdr:sp>
    <xdr:clientData/>
  </xdr:twoCellAnchor>
  <xdr:twoCellAnchor>
    <xdr:from>
      <xdr:col>5</xdr:col>
      <xdr:colOff>0</xdr:colOff>
      <xdr:row>31</xdr:row>
      <xdr:rowOff>139065</xdr:rowOff>
    </xdr:from>
    <xdr:to>
      <xdr:col>6</xdr:col>
      <xdr:colOff>1904</xdr:colOff>
      <xdr:row>33</xdr:row>
      <xdr:rowOff>140969</xdr:rowOff>
    </xdr:to>
    <xdr:cxnSp macro="">
      <xdr:nvCxnSpPr>
        <xdr:cNvPr id="9" name="UML_Rel_4">
          <a:extLst>
            <a:ext uri="{FF2B5EF4-FFF2-40B4-BE49-F238E27FC236}">
              <a16:creationId xmlns:a16="http://schemas.microsoft.com/office/drawing/2014/main" id="{C59B781A-8279-4B5C-A7C0-2071E7938913}"/>
            </a:ext>
          </a:extLst>
        </xdr:cNvPr>
        <xdr:cNvCxnSpPr/>
      </xdr:nvCxnSpPr>
      <xdr:spPr>
        <a:xfrm flipV="1">
          <a:off x="5829300" y="6069330"/>
          <a:ext cx="1630679" cy="373379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31</xdr:row>
      <xdr:rowOff>132461</xdr:rowOff>
    </xdr:from>
    <xdr:to>
      <xdr:col>5</xdr:col>
      <xdr:colOff>794004</xdr:colOff>
      <xdr:row>33</xdr:row>
      <xdr:rowOff>91186</xdr:rowOff>
    </xdr:to>
    <xdr:sp macro="" textlink="">
      <xdr:nvSpPr>
        <xdr:cNvPr id="10" name="UML_Lbl_4">
          <a:extLst>
            <a:ext uri="{FF2B5EF4-FFF2-40B4-BE49-F238E27FC236}">
              <a16:creationId xmlns:a16="http://schemas.microsoft.com/office/drawing/2014/main" id="{D66977BD-1610-AA50-73EA-62E14FAA3078}"/>
            </a:ext>
          </a:extLst>
        </xdr:cNvPr>
        <xdr:cNvSpPr txBox="1"/>
      </xdr:nvSpPr>
      <xdr:spPr>
        <a:xfrm>
          <a:off x="5962904" y="6171311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R04
1:N</a:t>
          </a:r>
        </a:p>
      </xdr:txBody>
    </xdr:sp>
    <xdr:clientData/>
  </xdr:twoCellAnchor>
  <xdr:twoCellAnchor>
    <xdr:from>
      <xdr:col>5</xdr:col>
      <xdr:colOff>0</xdr:colOff>
      <xdr:row>31</xdr:row>
      <xdr:rowOff>139065</xdr:rowOff>
    </xdr:from>
    <xdr:to>
      <xdr:col>6</xdr:col>
      <xdr:colOff>1904</xdr:colOff>
      <xdr:row>44</xdr:row>
      <xdr:rowOff>156210</xdr:rowOff>
    </xdr:to>
    <xdr:cxnSp macro="">
      <xdr:nvCxnSpPr>
        <xdr:cNvPr id="11" name="UML_Rel_5">
          <a:extLst>
            <a:ext uri="{FF2B5EF4-FFF2-40B4-BE49-F238E27FC236}">
              <a16:creationId xmlns:a16="http://schemas.microsoft.com/office/drawing/2014/main" id="{73FCB340-DBC6-4B25-BE6A-490A46518AEB}"/>
            </a:ext>
          </a:extLst>
        </xdr:cNvPr>
        <xdr:cNvCxnSpPr/>
      </xdr:nvCxnSpPr>
      <xdr:spPr>
        <a:xfrm flipV="1">
          <a:off x="5829300" y="6069330"/>
          <a:ext cx="1630679" cy="2413635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39</xdr:row>
      <xdr:rowOff>97408</xdr:rowOff>
    </xdr:from>
    <xdr:to>
      <xdr:col>5</xdr:col>
      <xdr:colOff>794004</xdr:colOff>
      <xdr:row>41</xdr:row>
      <xdr:rowOff>65658</xdr:rowOff>
    </xdr:to>
    <xdr:sp macro="" textlink="">
      <xdr:nvSpPr>
        <xdr:cNvPr id="12" name="UML_Lbl_5">
          <a:extLst>
            <a:ext uri="{FF2B5EF4-FFF2-40B4-BE49-F238E27FC236}">
              <a16:creationId xmlns:a16="http://schemas.microsoft.com/office/drawing/2014/main" id="{780BAA56-0454-07F8-67F6-4328651EA22D}"/>
            </a:ext>
          </a:extLst>
        </xdr:cNvPr>
        <xdr:cNvSpPr txBox="1"/>
      </xdr:nvSpPr>
      <xdr:spPr>
        <a:xfrm>
          <a:off x="5962904" y="7603108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R05
1:0..1</a:t>
          </a:r>
        </a:p>
      </xdr:txBody>
    </xdr:sp>
    <xdr:clientData/>
  </xdr:twoCellAnchor>
  <xdr:twoCellAnchor>
    <xdr:from>
      <xdr:col>5</xdr:col>
      <xdr:colOff>0</xdr:colOff>
      <xdr:row>31</xdr:row>
      <xdr:rowOff>139065</xdr:rowOff>
    </xdr:from>
    <xdr:to>
      <xdr:col>6</xdr:col>
      <xdr:colOff>1904</xdr:colOff>
      <xdr:row>62</xdr:row>
      <xdr:rowOff>0</xdr:rowOff>
    </xdr:to>
    <xdr:cxnSp macro="">
      <xdr:nvCxnSpPr>
        <xdr:cNvPr id="13" name="UML_Rel_6">
          <a:extLst>
            <a:ext uri="{FF2B5EF4-FFF2-40B4-BE49-F238E27FC236}">
              <a16:creationId xmlns:a16="http://schemas.microsoft.com/office/drawing/2014/main" id="{49B6C875-E867-4072-B21D-A454EC2A85EE}"/>
            </a:ext>
          </a:extLst>
        </xdr:cNvPr>
        <xdr:cNvCxnSpPr/>
      </xdr:nvCxnSpPr>
      <xdr:spPr>
        <a:xfrm flipV="1">
          <a:off x="5829300" y="6069330"/>
          <a:ext cx="1630679" cy="555117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51</xdr:row>
      <xdr:rowOff>94742</xdr:rowOff>
    </xdr:from>
    <xdr:to>
      <xdr:col>5</xdr:col>
      <xdr:colOff>794004</xdr:colOff>
      <xdr:row>53</xdr:row>
      <xdr:rowOff>62992</xdr:rowOff>
    </xdr:to>
    <xdr:sp macro="" textlink="">
      <xdr:nvSpPr>
        <xdr:cNvPr id="14" name="UML_Lbl_6">
          <a:extLst>
            <a:ext uri="{FF2B5EF4-FFF2-40B4-BE49-F238E27FC236}">
              <a16:creationId xmlns:a16="http://schemas.microsoft.com/office/drawing/2014/main" id="{BBD8F06C-BB5F-8568-48FD-51C6FB502A33}"/>
            </a:ext>
          </a:extLst>
        </xdr:cNvPr>
        <xdr:cNvSpPr txBox="1"/>
      </xdr:nvSpPr>
      <xdr:spPr>
        <a:xfrm>
          <a:off x="5962904" y="9800717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R06
1:N</a:t>
          </a:r>
        </a:p>
      </xdr:txBody>
    </xdr:sp>
    <xdr:clientData/>
  </xdr:twoCellAnchor>
  <xdr:twoCellAnchor>
    <xdr:from>
      <xdr:col>5</xdr:col>
      <xdr:colOff>0</xdr:colOff>
      <xdr:row>31</xdr:row>
      <xdr:rowOff>139065</xdr:rowOff>
    </xdr:from>
    <xdr:to>
      <xdr:col>6</xdr:col>
      <xdr:colOff>1904</xdr:colOff>
      <xdr:row>78</xdr:row>
      <xdr:rowOff>22859</xdr:rowOff>
    </xdr:to>
    <xdr:cxnSp macro="">
      <xdr:nvCxnSpPr>
        <xdr:cNvPr id="15" name="UML_Rel_7">
          <a:extLst>
            <a:ext uri="{FF2B5EF4-FFF2-40B4-BE49-F238E27FC236}">
              <a16:creationId xmlns:a16="http://schemas.microsoft.com/office/drawing/2014/main" id="{5E5B7FB7-4680-450E-AF9B-1A0F773FB6C9}"/>
            </a:ext>
          </a:extLst>
        </xdr:cNvPr>
        <xdr:cNvCxnSpPr/>
      </xdr:nvCxnSpPr>
      <xdr:spPr>
        <a:xfrm flipV="1">
          <a:off x="5829300" y="6069330"/>
          <a:ext cx="1630679" cy="8503919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62</xdr:row>
      <xdr:rowOff>141224</xdr:rowOff>
    </xdr:from>
    <xdr:to>
      <xdr:col>5</xdr:col>
      <xdr:colOff>794004</xdr:colOff>
      <xdr:row>64</xdr:row>
      <xdr:rowOff>90424</xdr:rowOff>
    </xdr:to>
    <xdr:sp macro="" textlink="">
      <xdr:nvSpPr>
        <xdr:cNvPr id="16" name="UML_Lbl_7">
          <a:extLst>
            <a:ext uri="{FF2B5EF4-FFF2-40B4-BE49-F238E27FC236}">
              <a16:creationId xmlns:a16="http://schemas.microsoft.com/office/drawing/2014/main" id="{372B69A9-BC17-0BCA-F7A2-B2D9E1C34FF3}"/>
            </a:ext>
          </a:extLst>
        </xdr:cNvPr>
        <xdr:cNvSpPr txBox="1"/>
      </xdr:nvSpPr>
      <xdr:spPr>
        <a:xfrm>
          <a:off x="5962904" y="11866499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R07
1:N</a:t>
          </a:r>
        </a:p>
      </xdr:txBody>
    </xdr:sp>
    <xdr:clientData/>
  </xdr:twoCellAnchor>
  <xdr:twoCellAnchor>
    <xdr:from>
      <xdr:col>5</xdr:col>
      <xdr:colOff>0</xdr:colOff>
      <xdr:row>31</xdr:row>
      <xdr:rowOff>139065</xdr:rowOff>
    </xdr:from>
    <xdr:to>
      <xdr:col>6</xdr:col>
      <xdr:colOff>1904</xdr:colOff>
      <xdr:row>94</xdr:row>
      <xdr:rowOff>45720</xdr:rowOff>
    </xdr:to>
    <xdr:cxnSp macro="">
      <xdr:nvCxnSpPr>
        <xdr:cNvPr id="17" name="UML_Rel_8">
          <a:extLst>
            <a:ext uri="{FF2B5EF4-FFF2-40B4-BE49-F238E27FC236}">
              <a16:creationId xmlns:a16="http://schemas.microsoft.com/office/drawing/2014/main" id="{00010925-AC6A-41F6-AAA8-3C3F42E476CB}"/>
            </a:ext>
          </a:extLst>
        </xdr:cNvPr>
        <xdr:cNvCxnSpPr/>
      </xdr:nvCxnSpPr>
      <xdr:spPr>
        <a:xfrm flipV="1">
          <a:off x="5829300" y="6069330"/>
          <a:ext cx="1630679" cy="11466195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74</xdr:row>
      <xdr:rowOff>16256</xdr:rowOff>
    </xdr:from>
    <xdr:to>
      <xdr:col>5</xdr:col>
      <xdr:colOff>794004</xdr:colOff>
      <xdr:row>75</xdr:row>
      <xdr:rowOff>165481</xdr:rowOff>
    </xdr:to>
    <xdr:sp macro="" textlink="">
      <xdr:nvSpPr>
        <xdr:cNvPr id="18" name="UML_Lbl_8">
          <a:extLst>
            <a:ext uri="{FF2B5EF4-FFF2-40B4-BE49-F238E27FC236}">
              <a16:creationId xmlns:a16="http://schemas.microsoft.com/office/drawing/2014/main" id="{33035121-2262-6AA6-F6E6-4ABD7528E019}"/>
            </a:ext>
          </a:extLst>
        </xdr:cNvPr>
        <xdr:cNvSpPr txBox="1"/>
      </xdr:nvSpPr>
      <xdr:spPr>
        <a:xfrm>
          <a:off x="5962904" y="13941806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R08
1:N</a:t>
          </a:r>
        </a:p>
      </xdr:txBody>
    </xdr:sp>
    <xdr:clientData/>
  </xdr:twoCellAnchor>
  <xdr:twoCellAnchor>
    <xdr:from>
      <xdr:col>5</xdr:col>
      <xdr:colOff>0</xdr:colOff>
      <xdr:row>31</xdr:row>
      <xdr:rowOff>139065</xdr:rowOff>
    </xdr:from>
    <xdr:to>
      <xdr:col>6</xdr:col>
      <xdr:colOff>1904</xdr:colOff>
      <xdr:row>104</xdr:row>
      <xdr:rowOff>60959</xdr:rowOff>
    </xdr:to>
    <xdr:cxnSp macro="">
      <xdr:nvCxnSpPr>
        <xdr:cNvPr id="19" name="UML_Rel_9">
          <a:extLst>
            <a:ext uri="{FF2B5EF4-FFF2-40B4-BE49-F238E27FC236}">
              <a16:creationId xmlns:a16="http://schemas.microsoft.com/office/drawing/2014/main" id="{CC9F228E-C2F9-4056-BCA8-621E1A27D1CB}"/>
            </a:ext>
          </a:extLst>
        </xdr:cNvPr>
        <xdr:cNvCxnSpPr/>
      </xdr:nvCxnSpPr>
      <xdr:spPr>
        <a:xfrm flipV="1">
          <a:off x="5829300" y="6069330"/>
          <a:ext cx="1630679" cy="13304519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133604</xdr:colOff>
      <xdr:row>81</xdr:row>
      <xdr:rowOff>15494</xdr:rowOff>
    </xdr:from>
    <xdr:to>
      <xdr:col>5</xdr:col>
      <xdr:colOff>794004</xdr:colOff>
      <xdr:row>82</xdr:row>
      <xdr:rowOff>164719</xdr:rowOff>
    </xdr:to>
    <xdr:sp macro="" textlink="">
      <xdr:nvSpPr>
        <xdr:cNvPr id="20" name="UML_Lbl_9">
          <a:extLst>
            <a:ext uri="{FF2B5EF4-FFF2-40B4-BE49-F238E27FC236}">
              <a16:creationId xmlns:a16="http://schemas.microsoft.com/office/drawing/2014/main" id="{EA43555E-4619-AE41-1B03-A4D19725E4BD}"/>
            </a:ext>
          </a:extLst>
        </xdr:cNvPr>
        <xdr:cNvSpPr txBox="1"/>
      </xdr:nvSpPr>
      <xdr:spPr>
        <a:xfrm>
          <a:off x="5962904" y="15226919"/>
          <a:ext cx="66040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R09
1:0..1</a:t>
          </a:r>
        </a:p>
      </xdr:txBody>
    </xdr:sp>
    <xdr:clientData/>
  </xdr:twoCellAnchor>
  <xdr:twoCellAnchor>
    <xdr:from>
      <xdr:col>10</xdr:col>
      <xdr:colOff>1905</xdr:colOff>
      <xdr:row>31</xdr:row>
      <xdr:rowOff>139065</xdr:rowOff>
    </xdr:from>
    <xdr:to>
      <xdr:col>11</xdr:col>
      <xdr:colOff>5715</xdr:colOff>
      <xdr:row>31</xdr:row>
      <xdr:rowOff>139065</xdr:rowOff>
    </xdr:to>
    <xdr:cxnSp macro="">
      <xdr:nvCxnSpPr>
        <xdr:cNvPr id="21" name="UML_Rel_10">
          <a:extLst>
            <a:ext uri="{FF2B5EF4-FFF2-40B4-BE49-F238E27FC236}">
              <a16:creationId xmlns:a16="http://schemas.microsoft.com/office/drawing/2014/main" id="{57E9DEFB-BB5A-4B3D-AACB-725F79331DEC}"/>
            </a:ext>
          </a:extLst>
        </xdr:cNvPr>
        <xdr:cNvCxnSpPr/>
      </xdr:nvCxnSpPr>
      <xdr:spPr>
        <a:xfrm flipH="1">
          <a:off x="12336780" y="6069330"/>
          <a:ext cx="1205865" cy="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498602</xdr:colOff>
      <xdr:row>30</xdr:row>
      <xdr:rowOff>65405</xdr:rowOff>
    </xdr:from>
    <xdr:to>
      <xdr:col>10</xdr:col>
      <xdr:colOff>1162812</xdr:colOff>
      <xdr:row>32</xdr:row>
      <xdr:rowOff>24130</xdr:rowOff>
    </xdr:to>
    <xdr:sp macro="" textlink="">
      <xdr:nvSpPr>
        <xdr:cNvPr id="22" name="UML_Lbl_10">
          <a:extLst>
            <a:ext uri="{FF2B5EF4-FFF2-40B4-BE49-F238E27FC236}">
              <a16:creationId xmlns:a16="http://schemas.microsoft.com/office/drawing/2014/main" id="{D21F1E2B-24DD-7D27-A629-79AF362D8BF2}"/>
            </a:ext>
          </a:extLst>
        </xdr:cNvPr>
        <xdr:cNvSpPr txBox="1"/>
      </xdr:nvSpPr>
      <xdr:spPr>
        <a:xfrm>
          <a:off x="12833477" y="5913755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R10
1:N</a:t>
          </a:r>
        </a:p>
      </xdr:txBody>
    </xdr:sp>
    <xdr:clientData/>
  </xdr:twoCellAnchor>
  <xdr:twoCellAnchor>
    <xdr:from>
      <xdr:col>10</xdr:col>
      <xdr:colOff>1905</xdr:colOff>
      <xdr:row>5</xdr:row>
      <xdr:rowOff>100965</xdr:rowOff>
    </xdr:from>
    <xdr:to>
      <xdr:col>11</xdr:col>
      <xdr:colOff>5715</xdr:colOff>
      <xdr:row>31</xdr:row>
      <xdr:rowOff>139065</xdr:rowOff>
    </xdr:to>
    <xdr:cxnSp macro="">
      <xdr:nvCxnSpPr>
        <xdr:cNvPr id="23" name="UML_Rel_11">
          <a:extLst>
            <a:ext uri="{FF2B5EF4-FFF2-40B4-BE49-F238E27FC236}">
              <a16:creationId xmlns:a16="http://schemas.microsoft.com/office/drawing/2014/main" id="{E7BCE046-A163-49F6-A15A-940EED3A73BB}"/>
            </a:ext>
          </a:extLst>
        </xdr:cNvPr>
        <xdr:cNvCxnSpPr/>
      </xdr:nvCxnSpPr>
      <xdr:spPr>
        <a:xfrm flipH="1" flipV="1">
          <a:off x="12336780" y="1268730"/>
          <a:ext cx="1205865" cy="480060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498602</xdr:colOff>
      <xdr:row>22</xdr:row>
      <xdr:rowOff>86360</xdr:rowOff>
    </xdr:from>
    <xdr:to>
      <xdr:col>10</xdr:col>
      <xdr:colOff>1162812</xdr:colOff>
      <xdr:row>24</xdr:row>
      <xdr:rowOff>45085</xdr:rowOff>
    </xdr:to>
    <xdr:sp macro="" textlink="">
      <xdr:nvSpPr>
        <xdr:cNvPr id="24" name="UML_Lbl_11">
          <a:extLst>
            <a:ext uri="{FF2B5EF4-FFF2-40B4-BE49-F238E27FC236}">
              <a16:creationId xmlns:a16="http://schemas.microsoft.com/office/drawing/2014/main" id="{23C70CEC-F458-3396-055E-04429D25297F}"/>
            </a:ext>
          </a:extLst>
        </xdr:cNvPr>
        <xdr:cNvSpPr txBox="1"/>
      </xdr:nvSpPr>
      <xdr:spPr>
        <a:xfrm>
          <a:off x="12833477" y="4477385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R11
0..1:N</a:t>
          </a:r>
        </a:p>
      </xdr:txBody>
    </xdr:sp>
    <xdr:clientData/>
  </xdr:twoCellAnchor>
  <xdr:twoCellAnchor>
    <xdr:from>
      <xdr:col>6</xdr:col>
      <xdr:colOff>509905</xdr:colOff>
      <xdr:row>50</xdr:row>
      <xdr:rowOff>74295</xdr:rowOff>
    </xdr:from>
    <xdr:to>
      <xdr:col>6</xdr:col>
      <xdr:colOff>509905</xdr:colOff>
      <xdr:row>55</xdr:row>
      <xdr:rowOff>81915</xdr:rowOff>
    </xdr:to>
    <xdr:cxnSp macro="">
      <xdr:nvCxnSpPr>
        <xdr:cNvPr id="25" name="UML_Rel_12">
          <a:extLst>
            <a:ext uri="{FF2B5EF4-FFF2-40B4-BE49-F238E27FC236}">
              <a16:creationId xmlns:a16="http://schemas.microsoft.com/office/drawing/2014/main" id="{F83686A1-DE7E-44FE-916B-E4526F75D911}"/>
            </a:ext>
          </a:extLst>
        </xdr:cNvPr>
        <xdr:cNvCxnSpPr/>
      </xdr:nvCxnSpPr>
      <xdr:spPr>
        <a:xfrm flipV="1">
          <a:off x="7971790" y="9494520"/>
          <a:ext cx="0" cy="923925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52</xdr:row>
      <xdr:rowOff>97409</xdr:rowOff>
    </xdr:from>
    <xdr:to>
      <xdr:col>7</xdr:col>
      <xdr:colOff>201295</xdr:colOff>
      <xdr:row>54</xdr:row>
      <xdr:rowOff>65659</xdr:rowOff>
    </xdr:to>
    <xdr:sp macro="" textlink="">
      <xdr:nvSpPr>
        <xdr:cNvPr id="26" name="UML_Lbl_12">
          <a:extLst>
            <a:ext uri="{FF2B5EF4-FFF2-40B4-BE49-F238E27FC236}">
              <a16:creationId xmlns:a16="http://schemas.microsoft.com/office/drawing/2014/main" id="{BC3602FE-BAA6-B6A4-2B12-1959E9176F29}"/>
            </a:ext>
          </a:extLst>
        </xdr:cNvPr>
        <xdr:cNvSpPr txBox="1"/>
      </xdr:nvSpPr>
      <xdr:spPr>
        <a:xfrm>
          <a:off x="7629525" y="9984359"/>
          <a:ext cx="658495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R12
1:N</a:t>
          </a:r>
        </a:p>
      </xdr:txBody>
    </xdr:sp>
    <xdr:clientData/>
  </xdr:twoCellAnchor>
  <xdr:twoCellAnchor>
    <xdr:from>
      <xdr:col>10</xdr:col>
      <xdr:colOff>1905</xdr:colOff>
      <xdr:row>31</xdr:row>
      <xdr:rowOff>139065</xdr:rowOff>
    </xdr:from>
    <xdr:to>
      <xdr:col>11</xdr:col>
      <xdr:colOff>5715</xdr:colOff>
      <xdr:row>55</xdr:row>
      <xdr:rowOff>173355</xdr:rowOff>
    </xdr:to>
    <xdr:cxnSp macro="">
      <xdr:nvCxnSpPr>
        <xdr:cNvPr id="27" name="UML_Rel_13">
          <a:extLst>
            <a:ext uri="{FF2B5EF4-FFF2-40B4-BE49-F238E27FC236}">
              <a16:creationId xmlns:a16="http://schemas.microsoft.com/office/drawing/2014/main" id="{F66E8822-B748-4D57-853B-3F9A65A42E64}"/>
            </a:ext>
          </a:extLst>
        </xdr:cNvPr>
        <xdr:cNvCxnSpPr/>
      </xdr:nvCxnSpPr>
      <xdr:spPr>
        <a:xfrm flipV="1">
          <a:off x="12336780" y="6069330"/>
          <a:ext cx="1205865" cy="4434840"/>
        </a:xfrm>
        <a:prstGeom prst="straightConnector1">
          <a:avLst/>
        </a:prstGeom>
        <a:noFill/>
        <a:ln w="25400" cap="flat" cmpd="sng" algn="ctr">
          <a:solidFill>
            <a:srgbClr val="A6A6A6"/>
          </a:solidFill>
          <a:prstDash val="dash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13208</xdr:colOff>
      <xdr:row>47</xdr:row>
      <xdr:rowOff>47498</xdr:rowOff>
    </xdr:from>
    <xdr:to>
      <xdr:col>10</xdr:col>
      <xdr:colOff>771398</xdr:colOff>
      <xdr:row>49</xdr:row>
      <xdr:rowOff>15748</xdr:rowOff>
    </xdr:to>
    <xdr:sp macro="" textlink="">
      <xdr:nvSpPr>
        <xdr:cNvPr id="28" name="UML_Lbl_13">
          <a:extLst>
            <a:ext uri="{FF2B5EF4-FFF2-40B4-BE49-F238E27FC236}">
              <a16:creationId xmlns:a16="http://schemas.microsoft.com/office/drawing/2014/main" id="{A511507E-23B2-13CD-2514-7893D5D724D0}"/>
            </a:ext>
          </a:extLst>
        </xdr:cNvPr>
        <xdr:cNvSpPr txBox="1"/>
      </xdr:nvSpPr>
      <xdr:spPr>
        <a:xfrm>
          <a:off x="12348083" y="9029573"/>
          <a:ext cx="75819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R13
LastTxnId</a:t>
          </a:r>
        </a:p>
      </xdr:txBody>
    </xdr:sp>
    <xdr:clientData/>
  </xdr:twoCellAnchor>
  <xdr:twoCellAnchor>
    <xdr:from>
      <xdr:col>15</xdr:col>
      <xdr:colOff>5715</xdr:colOff>
      <xdr:row>5</xdr:row>
      <xdr:rowOff>100965</xdr:rowOff>
    </xdr:from>
    <xdr:to>
      <xdr:col>16</xdr:col>
      <xdr:colOff>9524</xdr:colOff>
      <xdr:row>31</xdr:row>
      <xdr:rowOff>139065</xdr:rowOff>
    </xdr:to>
    <xdr:cxnSp macro="">
      <xdr:nvCxnSpPr>
        <xdr:cNvPr id="29" name="UML_Rel_14">
          <a:extLst>
            <a:ext uri="{FF2B5EF4-FFF2-40B4-BE49-F238E27FC236}">
              <a16:creationId xmlns:a16="http://schemas.microsoft.com/office/drawing/2014/main" id="{EBC365E0-13FB-4550-9A95-4C01053289D5}"/>
            </a:ext>
          </a:extLst>
        </xdr:cNvPr>
        <xdr:cNvCxnSpPr/>
      </xdr:nvCxnSpPr>
      <xdr:spPr>
        <a:xfrm flipH="1">
          <a:off x="18419445" y="1268730"/>
          <a:ext cx="1203959" cy="480060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498602</xdr:colOff>
      <xdr:row>12</xdr:row>
      <xdr:rowOff>21590</xdr:rowOff>
    </xdr:from>
    <xdr:to>
      <xdr:col>15</xdr:col>
      <xdr:colOff>1162812</xdr:colOff>
      <xdr:row>13</xdr:row>
      <xdr:rowOff>170815</xdr:rowOff>
    </xdr:to>
    <xdr:sp macro="" textlink="">
      <xdr:nvSpPr>
        <xdr:cNvPr id="30" name="UML_Lbl_14">
          <a:extLst>
            <a:ext uri="{FF2B5EF4-FFF2-40B4-BE49-F238E27FC236}">
              <a16:creationId xmlns:a16="http://schemas.microsoft.com/office/drawing/2014/main" id="{36245247-A618-CA4D-C331-E70021437BEC}"/>
            </a:ext>
          </a:extLst>
        </xdr:cNvPr>
        <xdr:cNvSpPr txBox="1"/>
      </xdr:nvSpPr>
      <xdr:spPr>
        <a:xfrm>
          <a:off x="18910427" y="2574290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R14
1:1</a:t>
          </a:r>
        </a:p>
      </xdr:txBody>
    </xdr:sp>
    <xdr:clientData/>
  </xdr:twoCellAnchor>
  <xdr:twoCellAnchor>
    <xdr:from>
      <xdr:col>15</xdr:col>
      <xdr:colOff>5715</xdr:colOff>
      <xdr:row>22</xdr:row>
      <xdr:rowOff>125730</xdr:rowOff>
    </xdr:from>
    <xdr:to>
      <xdr:col>16</xdr:col>
      <xdr:colOff>9524</xdr:colOff>
      <xdr:row>31</xdr:row>
      <xdr:rowOff>139065</xdr:rowOff>
    </xdr:to>
    <xdr:cxnSp macro="">
      <xdr:nvCxnSpPr>
        <xdr:cNvPr id="31" name="UML_Rel_15">
          <a:extLst>
            <a:ext uri="{FF2B5EF4-FFF2-40B4-BE49-F238E27FC236}">
              <a16:creationId xmlns:a16="http://schemas.microsoft.com/office/drawing/2014/main" id="{B47286A8-8FC4-4F39-94EF-71625B58FA33}"/>
            </a:ext>
          </a:extLst>
        </xdr:cNvPr>
        <xdr:cNvCxnSpPr/>
      </xdr:nvCxnSpPr>
      <xdr:spPr>
        <a:xfrm flipH="1">
          <a:off x="18419445" y="4415790"/>
          <a:ext cx="1203959" cy="165354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498602</xdr:colOff>
      <xdr:row>23</xdr:row>
      <xdr:rowOff>178943</xdr:rowOff>
    </xdr:from>
    <xdr:to>
      <xdr:col>15</xdr:col>
      <xdr:colOff>1162812</xdr:colOff>
      <xdr:row>25</xdr:row>
      <xdr:rowOff>137668</xdr:rowOff>
    </xdr:to>
    <xdr:sp macro="" textlink="">
      <xdr:nvSpPr>
        <xdr:cNvPr id="32" name="UML_Lbl_15">
          <a:extLst>
            <a:ext uri="{FF2B5EF4-FFF2-40B4-BE49-F238E27FC236}">
              <a16:creationId xmlns:a16="http://schemas.microsoft.com/office/drawing/2014/main" id="{0DA7A861-880E-7FED-90B1-8CACBBCAE0F7}"/>
            </a:ext>
          </a:extLst>
        </xdr:cNvPr>
        <xdr:cNvSpPr txBox="1"/>
      </xdr:nvSpPr>
      <xdr:spPr>
        <a:xfrm>
          <a:off x="18910427" y="4750943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R15
1:1</a:t>
          </a:r>
        </a:p>
      </xdr:txBody>
    </xdr:sp>
    <xdr:clientData/>
  </xdr:twoCellAnchor>
  <xdr:twoCellAnchor>
    <xdr:from>
      <xdr:col>15</xdr:col>
      <xdr:colOff>5715</xdr:colOff>
      <xdr:row>31</xdr:row>
      <xdr:rowOff>139065</xdr:rowOff>
    </xdr:from>
    <xdr:to>
      <xdr:col>16</xdr:col>
      <xdr:colOff>9524</xdr:colOff>
      <xdr:row>42</xdr:row>
      <xdr:rowOff>154305</xdr:rowOff>
    </xdr:to>
    <xdr:cxnSp macro="">
      <xdr:nvCxnSpPr>
        <xdr:cNvPr id="33" name="UML_Rel_16">
          <a:extLst>
            <a:ext uri="{FF2B5EF4-FFF2-40B4-BE49-F238E27FC236}">
              <a16:creationId xmlns:a16="http://schemas.microsoft.com/office/drawing/2014/main" id="{09CF6EB4-C066-40DB-A276-E7225D9E0C2E}"/>
            </a:ext>
          </a:extLst>
        </xdr:cNvPr>
        <xdr:cNvCxnSpPr/>
      </xdr:nvCxnSpPr>
      <xdr:spPr>
        <a:xfrm flipH="1" flipV="1">
          <a:off x="18419445" y="6069330"/>
          <a:ext cx="1203959" cy="203835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498602</xdr:colOff>
      <xdr:row>38</xdr:row>
      <xdr:rowOff>20828</xdr:rowOff>
    </xdr:from>
    <xdr:to>
      <xdr:col>15</xdr:col>
      <xdr:colOff>1162812</xdr:colOff>
      <xdr:row>39</xdr:row>
      <xdr:rowOff>170053</xdr:rowOff>
    </xdr:to>
    <xdr:sp macro="" textlink="">
      <xdr:nvSpPr>
        <xdr:cNvPr id="34" name="UML_Lbl_16">
          <a:extLst>
            <a:ext uri="{FF2B5EF4-FFF2-40B4-BE49-F238E27FC236}">
              <a16:creationId xmlns:a16="http://schemas.microsoft.com/office/drawing/2014/main" id="{0AF44317-CD2D-39CE-3DD4-BCA760664AE5}"/>
            </a:ext>
          </a:extLst>
        </xdr:cNvPr>
        <xdr:cNvSpPr txBox="1"/>
      </xdr:nvSpPr>
      <xdr:spPr>
        <a:xfrm>
          <a:off x="18910427" y="7345553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R16
1:N</a:t>
          </a:r>
        </a:p>
      </xdr:txBody>
    </xdr:sp>
    <xdr:clientData/>
  </xdr:twoCellAnchor>
  <xdr:twoCellAnchor>
    <xdr:from>
      <xdr:col>15</xdr:col>
      <xdr:colOff>5715</xdr:colOff>
      <xdr:row>31</xdr:row>
      <xdr:rowOff>139065</xdr:rowOff>
    </xdr:from>
    <xdr:to>
      <xdr:col>16</xdr:col>
      <xdr:colOff>9524</xdr:colOff>
      <xdr:row>65</xdr:row>
      <xdr:rowOff>1905</xdr:rowOff>
    </xdr:to>
    <xdr:cxnSp macro="">
      <xdr:nvCxnSpPr>
        <xdr:cNvPr id="35" name="UML_Rel_17">
          <a:extLst>
            <a:ext uri="{FF2B5EF4-FFF2-40B4-BE49-F238E27FC236}">
              <a16:creationId xmlns:a16="http://schemas.microsoft.com/office/drawing/2014/main" id="{4ABB0966-4B50-405F-9BD8-ED9CB7B87859}"/>
            </a:ext>
          </a:extLst>
        </xdr:cNvPr>
        <xdr:cNvCxnSpPr/>
      </xdr:nvCxnSpPr>
      <xdr:spPr>
        <a:xfrm flipH="1" flipV="1">
          <a:off x="18419445" y="6069330"/>
          <a:ext cx="1203959" cy="611505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498602</xdr:colOff>
      <xdr:row>53</xdr:row>
      <xdr:rowOff>123698</xdr:rowOff>
    </xdr:from>
    <xdr:to>
      <xdr:col>15</xdr:col>
      <xdr:colOff>1162812</xdr:colOff>
      <xdr:row>55</xdr:row>
      <xdr:rowOff>82423</xdr:rowOff>
    </xdr:to>
    <xdr:sp macro="" textlink="">
      <xdr:nvSpPr>
        <xdr:cNvPr id="36" name="UML_Lbl_17">
          <a:extLst>
            <a:ext uri="{FF2B5EF4-FFF2-40B4-BE49-F238E27FC236}">
              <a16:creationId xmlns:a16="http://schemas.microsoft.com/office/drawing/2014/main" id="{74C1D6CB-30E0-142F-ABC2-DAF55826A751}"/>
            </a:ext>
          </a:extLst>
        </xdr:cNvPr>
        <xdr:cNvSpPr txBox="1"/>
      </xdr:nvSpPr>
      <xdr:spPr>
        <a:xfrm>
          <a:off x="18910427" y="10191623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R17
1:N</a:t>
          </a:r>
        </a:p>
      </xdr:txBody>
    </xdr:sp>
    <xdr:clientData/>
  </xdr:twoCellAnchor>
  <xdr:twoCellAnchor>
    <xdr:from>
      <xdr:col>15</xdr:col>
      <xdr:colOff>5715</xdr:colOff>
      <xdr:row>31</xdr:row>
      <xdr:rowOff>139065</xdr:rowOff>
    </xdr:from>
    <xdr:to>
      <xdr:col>16</xdr:col>
      <xdr:colOff>9524</xdr:colOff>
      <xdr:row>90</xdr:row>
      <xdr:rowOff>41909</xdr:rowOff>
    </xdr:to>
    <xdr:cxnSp macro="">
      <xdr:nvCxnSpPr>
        <xdr:cNvPr id="37" name="UML_Rel_18">
          <a:extLst>
            <a:ext uri="{FF2B5EF4-FFF2-40B4-BE49-F238E27FC236}">
              <a16:creationId xmlns:a16="http://schemas.microsoft.com/office/drawing/2014/main" id="{A128B890-6608-46E0-B8F3-17924A771700}"/>
            </a:ext>
          </a:extLst>
        </xdr:cNvPr>
        <xdr:cNvCxnSpPr/>
      </xdr:nvCxnSpPr>
      <xdr:spPr>
        <a:xfrm flipH="1" flipV="1">
          <a:off x="18419445" y="6069330"/>
          <a:ext cx="1203959" cy="10717529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498602</xdr:colOff>
      <xdr:row>71</xdr:row>
      <xdr:rowOff>38354</xdr:rowOff>
    </xdr:from>
    <xdr:to>
      <xdr:col>15</xdr:col>
      <xdr:colOff>1162812</xdr:colOff>
      <xdr:row>73</xdr:row>
      <xdr:rowOff>6604</xdr:rowOff>
    </xdr:to>
    <xdr:sp macro="" textlink="">
      <xdr:nvSpPr>
        <xdr:cNvPr id="38" name="UML_Lbl_18">
          <a:extLst>
            <a:ext uri="{FF2B5EF4-FFF2-40B4-BE49-F238E27FC236}">
              <a16:creationId xmlns:a16="http://schemas.microsoft.com/office/drawing/2014/main" id="{950B65B4-1AC0-01C4-6831-66430EAABA3C}"/>
            </a:ext>
          </a:extLst>
        </xdr:cNvPr>
        <xdr:cNvSpPr txBox="1"/>
      </xdr:nvSpPr>
      <xdr:spPr>
        <a:xfrm>
          <a:off x="18910427" y="13420979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R18
1:N</a:t>
          </a:r>
        </a:p>
      </xdr:txBody>
    </xdr:sp>
    <xdr:clientData/>
  </xdr:twoCellAnchor>
  <xdr:twoCellAnchor>
    <xdr:from>
      <xdr:col>15</xdr:col>
      <xdr:colOff>5715</xdr:colOff>
      <xdr:row>31</xdr:row>
      <xdr:rowOff>139065</xdr:rowOff>
    </xdr:from>
    <xdr:to>
      <xdr:col>16</xdr:col>
      <xdr:colOff>9524</xdr:colOff>
      <xdr:row>112</xdr:row>
      <xdr:rowOff>72390</xdr:rowOff>
    </xdr:to>
    <xdr:cxnSp macro="">
      <xdr:nvCxnSpPr>
        <xdr:cNvPr id="39" name="UML_Rel_19">
          <a:extLst>
            <a:ext uri="{FF2B5EF4-FFF2-40B4-BE49-F238E27FC236}">
              <a16:creationId xmlns:a16="http://schemas.microsoft.com/office/drawing/2014/main" id="{13BB2344-126C-4AE6-83E8-D8EEC72936E8}"/>
            </a:ext>
          </a:extLst>
        </xdr:cNvPr>
        <xdr:cNvCxnSpPr/>
      </xdr:nvCxnSpPr>
      <xdr:spPr>
        <a:xfrm flipH="1" flipV="1">
          <a:off x="18419445" y="6069330"/>
          <a:ext cx="1203959" cy="1478661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498602</xdr:colOff>
      <xdr:row>86</xdr:row>
      <xdr:rowOff>153035</xdr:rowOff>
    </xdr:from>
    <xdr:to>
      <xdr:col>15</xdr:col>
      <xdr:colOff>1162812</xdr:colOff>
      <xdr:row>88</xdr:row>
      <xdr:rowOff>121285</xdr:rowOff>
    </xdr:to>
    <xdr:sp macro="" textlink="">
      <xdr:nvSpPr>
        <xdr:cNvPr id="40" name="UML_Lbl_19">
          <a:extLst>
            <a:ext uri="{FF2B5EF4-FFF2-40B4-BE49-F238E27FC236}">
              <a16:creationId xmlns:a16="http://schemas.microsoft.com/office/drawing/2014/main" id="{6C5C276B-C9A9-74A1-35A6-1BEF6A847885}"/>
            </a:ext>
          </a:extLst>
        </xdr:cNvPr>
        <xdr:cNvSpPr txBox="1"/>
      </xdr:nvSpPr>
      <xdr:spPr>
        <a:xfrm>
          <a:off x="18910427" y="16269335"/>
          <a:ext cx="664210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R19
1:N</a:t>
          </a:r>
        </a:p>
      </xdr:txBody>
    </xdr:sp>
    <xdr:clientData/>
  </xdr:twoCellAnchor>
  <xdr:twoCellAnchor>
    <xdr:from>
      <xdr:col>20</xdr:col>
      <xdr:colOff>9525</xdr:colOff>
      <xdr:row>112</xdr:row>
      <xdr:rowOff>72390</xdr:rowOff>
    </xdr:from>
    <xdr:to>
      <xdr:col>21</xdr:col>
      <xdr:colOff>13334</xdr:colOff>
      <xdr:row>112</xdr:row>
      <xdr:rowOff>72390</xdr:rowOff>
    </xdr:to>
    <xdr:cxnSp macro="">
      <xdr:nvCxnSpPr>
        <xdr:cNvPr id="41" name="UML_Rel_20">
          <a:extLst>
            <a:ext uri="{FF2B5EF4-FFF2-40B4-BE49-F238E27FC236}">
              <a16:creationId xmlns:a16="http://schemas.microsoft.com/office/drawing/2014/main" id="{F635AF49-ADA4-4896-AE51-44C48AAABC12}"/>
            </a:ext>
          </a:extLst>
        </xdr:cNvPr>
        <xdr:cNvCxnSpPr/>
      </xdr:nvCxnSpPr>
      <xdr:spPr>
        <a:xfrm flipH="1">
          <a:off x="24500205" y="20855940"/>
          <a:ext cx="1205864" cy="0"/>
        </a:xfrm>
        <a:prstGeom prst="straightConnector1">
          <a:avLst/>
        </a:prstGeom>
        <a:noFill/>
        <a:ln w="25400" cap="flat" cmpd="sng" algn="ctr">
          <a:solidFill>
            <a:srgbClr val="404040"/>
          </a:solidFill>
          <a:prstDash val="solid"/>
          <a:headEnd type="oval"/>
          <a:tailEnd type="triangle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511937</xdr:colOff>
      <xdr:row>110</xdr:row>
      <xdr:rowOff>179705</xdr:rowOff>
    </xdr:from>
    <xdr:to>
      <xdr:col>20</xdr:col>
      <xdr:colOff>1170432</xdr:colOff>
      <xdr:row>112</xdr:row>
      <xdr:rowOff>138430</xdr:rowOff>
    </xdr:to>
    <xdr:sp macro="" textlink="">
      <xdr:nvSpPr>
        <xdr:cNvPr id="42" name="UML_Lbl_20">
          <a:extLst>
            <a:ext uri="{FF2B5EF4-FFF2-40B4-BE49-F238E27FC236}">
              <a16:creationId xmlns:a16="http://schemas.microsoft.com/office/drawing/2014/main" id="{FB18C8FE-C2DC-909B-A681-4112199DB46D}"/>
            </a:ext>
          </a:extLst>
        </xdr:cNvPr>
        <xdr:cNvSpPr txBox="1"/>
      </xdr:nvSpPr>
      <xdr:spPr>
        <a:xfrm>
          <a:off x="25000712" y="20696555"/>
          <a:ext cx="658495" cy="330200"/>
        </a:xfrm>
        <a:prstGeom prst="rect">
          <a:avLst/>
        </a:prstGeom>
        <a:solidFill>
          <a:srgbClr val="C65911"/>
        </a:solidFill>
        <a:ln>
          <a:noFill/>
        </a:ln>
      </xdr:spPr>
      <xdr:txBody>
        <a:bodyPr vertOverflow="overflow" vert="horz" wrap="square" lIns="12700" tIns="0" rIns="12700" bIns="0" rtlCol="0" anchor="t">
          <a:spAutoFit/>
        </a:bodyPr>
        <a:lstStyle/>
        <a:p>
          <a:pPr algn="ctr"/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Calibri"/>
            </a:rPr>
            <a:t>R20
1:N</a:t>
          </a:r>
        </a:p>
      </xdr:txBody>
    </xdr:sp>
    <xdr:clientData/>
  </xdr:twoCellAnchor>
  <xdr:twoCellAnchor>
    <xdr:from>
      <xdr:col>21</xdr:col>
      <xdr:colOff>17145</xdr:colOff>
      <xdr:row>3</xdr:row>
      <xdr:rowOff>172720</xdr:rowOff>
    </xdr:from>
    <xdr:to>
      <xdr:col>24</xdr:col>
      <xdr:colOff>154305</xdr:colOff>
      <xdr:row>4</xdr:row>
      <xdr:rowOff>182245</xdr:rowOff>
    </xdr:to>
    <xdr:sp macro="" textlink="">
      <xdr:nvSpPr>
        <xdr:cNvPr id="44" name="UML_Lbl_audit">
          <a:extLst>
            <a:ext uri="{FF2B5EF4-FFF2-40B4-BE49-F238E27FC236}">
              <a16:creationId xmlns:a16="http://schemas.microsoft.com/office/drawing/2014/main" id="{26C83F71-8B29-A125-3182-AC4928915021}"/>
            </a:ext>
          </a:extLst>
        </xdr:cNvPr>
        <xdr:cNvSpPr txBox="1"/>
      </xdr:nvSpPr>
      <xdr:spPr>
        <a:xfrm>
          <a:off x="25709880" y="969010"/>
          <a:ext cx="4191000" cy="192405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800" b="0" i="1" u="none" strike="noStrike" kern="0" cap="none" spc="0" normalizeH="0" baseline="0" noProof="0">
              <a:ln>
                <a:noFill/>
              </a:ln>
              <a:solidFill>
                <a:srgbClr val="595959"/>
              </a:solidFill>
              <a:effectLst/>
              <a:uLnTx/>
              <a:uFillTx/>
              <a:latin typeface="Calibri"/>
            </a:rPr>
            <a:t>Polymorphic: AggregateType + AggregateId → herhangi bir tablo (FK yok)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73A9606-F6B6-4E3B-A450-B40F938818B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47a9f4b-9362-4b3c-9bf3-00bfad02d1be&quot;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8" sqref="C8"/>
    </sheetView>
  </sheetViews>
  <sheetFormatPr defaultRowHeight="14.4" x14ac:dyDescent="0.3"/>
  <cols>
    <col min="1" max="1" width="10" customWidth="1"/>
    <col min="2" max="2" width="14" customWidth="1"/>
    <col min="3" max="3" width="162.109375" customWidth="1"/>
    <col min="4" max="4" width="97.109375" customWidth="1"/>
  </cols>
  <sheetData>
    <row r="1" spans="1:4" ht="21" x14ac:dyDescent="0.4">
      <c r="A1" s="1" t="s">
        <v>0</v>
      </c>
    </row>
    <row r="2" spans="1:4" x14ac:dyDescent="0.3">
      <c r="A2" s="2" t="s">
        <v>1270</v>
      </c>
    </row>
    <row r="4" spans="1:4" x14ac:dyDescent="0.3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3">
      <c r="A5" s="13" t="s">
        <v>5</v>
      </c>
      <c r="B5" s="13" t="s">
        <v>6</v>
      </c>
      <c r="C5" s="4" t="s">
        <v>7</v>
      </c>
      <c r="D5" s="4" t="s">
        <v>8</v>
      </c>
    </row>
    <row r="6" spans="1:4" ht="28.8" x14ac:dyDescent="0.3">
      <c r="A6" s="13" t="s">
        <v>9</v>
      </c>
      <c r="B6" s="13" t="s">
        <v>6</v>
      </c>
      <c r="C6" s="4" t="s">
        <v>10</v>
      </c>
      <c r="D6" s="4" t="s">
        <v>11</v>
      </c>
    </row>
    <row r="7" spans="1:4" ht="144" x14ac:dyDescent="0.3">
      <c r="A7" s="13" t="s">
        <v>12</v>
      </c>
      <c r="B7" s="13" t="s">
        <v>6</v>
      </c>
      <c r="C7" s="4" t="s">
        <v>13</v>
      </c>
      <c r="D7" s="4" t="s">
        <v>14</v>
      </c>
    </row>
    <row r="8" spans="1:4" ht="244.8" x14ac:dyDescent="0.3">
      <c r="A8" s="13" t="s">
        <v>15</v>
      </c>
      <c r="B8" s="13" t="s">
        <v>16</v>
      </c>
      <c r="C8" s="4" t="s">
        <v>17</v>
      </c>
      <c r="D8" s="4" t="s">
        <v>18</v>
      </c>
    </row>
    <row r="9" spans="1:4" ht="86.4" x14ac:dyDescent="0.3">
      <c r="A9" s="13" t="s">
        <v>1267</v>
      </c>
      <c r="B9" s="61">
        <v>46301</v>
      </c>
      <c r="C9" s="4" t="s">
        <v>1268</v>
      </c>
      <c r="D9" s="4" t="s">
        <v>1269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activeCell="C31" sqref="C31"/>
    </sheetView>
  </sheetViews>
  <sheetFormatPr defaultRowHeight="14.4" x14ac:dyDescent="0.3"/>
  <cols>
    <col min="1" max="1" width="45.5546875" customWidth="1"/>
    <col min="2" max="2" width="45" customWidth="1"/>
    <col min="3" max="3" width="128.6640625" customWidth="1"/>
    <col min="4" max="4" width="61.5546875" customWidth="1"/>
    <col min="5" max="5" width="188.5546875" customWidth="1"/>
    <col min="6" max="6" width="12" customWidth="1"/>
  </cols>
  <sheetData>
    <row r="1" spans="1:6" ht="21" x14ac:dyDescent="0.4">
      <c r="A1" s="1" t="s">
        <v>1208</v>
      </c>
    </row>
    <row r="2" spans="1:6" ht="24" customHeight="1" x14ac:dyDescent="0.3">
      <c r="A2" s="79" t="s">
        <v>19</v>
      </c>
      <c r="B2" s="79"/>
      <c r="C2" s="79"/>
      <c r="D2" s="79"/>
      <c r="E2" s="79"/>
      <c r="F2" s="79"/>
    </row>
    <row r="4" spans="1:6" x14ac:dyDescent="0.3">
      <c r="A4" s="80" t="s">
        <v>20</v>
      </c>
      <c r="B4" s="80"/>
      <c r="C4" s="80"/>
      <c r="D4" s="80"/>
      <c r="E4" s="80"/>
      <c r="F4" s="80"/>
    </row>
    <row r="5" spans="1:6" ht="17.55" customHeight="1" x14ac:dyDescent="0.3">
      <c r="A5" s="3" t="s">
        <v>21</v>
      </c>
      <c r="B5" s="3" t="s">
        <v>22</v>
      </c>
      <c r="C5" s="3" t="s">
        <v>23</v>
      </c>
      <c r="D5" s="3" t="s">
        <v>24</v>
      </c>
    </row>
    <row r="6" spans="1:6" ht="28.8" x14ac:dyDescent="0.3">
      <c r="A6" s="13">
        <v>1</v>
      </c>
      <c r="B6" s="4" t="s">
        <v>25</v>
      </c>
      <c r="C6" s="4" t="s">
        <v>26</v>
      </c>
      <c r="D6" s="4" t="s">
        <v>27</v>
      </c>
    </row>
    <row r="7" spans="1:6" x14ac:dyDescent="0.3">
      <c r="A7" s="13">
        <v>2</v>
      </c>
      <c r="B7" s="4" t="s">
        <v>28</v>
      </c>
      <c r="C7" s="4" t="s">
        <v>29</v>
      </c>
      <c r="D7" s="4" t="s">
        <v>30</v>
      </c>
    </row>
    <row r="8" spans="1:6" ht="28.8" x14ac:dyDescent="0.3">
      <c r="A8" s="13">
        <v>3</v>
      </c>
      <c r="B8" s="4" t="s">
        <v>31</v>
      </c>
      <c r="C8" s="4" t="s">
        <v>32</v>
      </c>
      <c r="D8" s="4" t="s">
        <v>33</v>
      </c>
    </row>
    <row r="9" spans="1:6" x14ac:dyDescent="0.3">
      <c r="A9" s="13">
        <v>4</v>
      </c>
      <c r="B9" s="4" t="s">
        <v>34</v>
      </c>
      <c r="C9" s="4" t="s">
        <v>35</v>
      </c>
      <c r="D9" s="4" t="s">
        <v>36</v>
      </c>
    </row>
    <row r="11" spans="1:6" x14ac:dyDescent="0.3">
      <c r="A11" s="80" t="s">
        <v>37</v>
      </c>
      <c r="B11" s="80"/>
      <c r="C11" s="80"/>
      <c r="D11" s="80"/>
      <c r="E11" s="80"/>
      <c r="F11" s="80"/>
    </row>
    <row r="12" spans="1:6" x14ac:dyDescent="0.3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</row>
    <row r="13" spans="1:6" ht="28.8" x14ac:dyDescent="0.3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47</v>
      </c>
    </row>
    <row r="14" spans="1:6" x14ac:dyDescent="0.3">
      <c r="A14" s="4" t="s">
        <v>48</v>
      </c>
      <c r="B14" s="4" t="s">
        <v>49</v>
      </c>
      <c r="C14" s="4" t="s">
        <v>45</v>
      </c>
      <c r="D14" s="4" t="s">
        <v>50</v>
      </c>
      <c r="E14" s="4" t="s">
        <v>51</v>
      </c>
    </row>
    <row r="15" spans="1:6" x14ac:dyDescent="0.3">
      <c r="A15" s="4" t="s">
        <v>52</v>
      </c>
      <c r="B15" s="4" t="s">
        <v>49</v>
      </c>
      <c r="C15" s="4" t="s">
        <v>45</v>
      </c>
      <c r="D15" s="4" t="s">
        <v>53</v>
      </c>
      <c r="E15" s="4" t="s">
        <v>54</v>
      </c>
    </row>
    <row r="16" spans="1:6" x14ac:dyDescent="0.3">
      <c r="A16" s="4" t="s">
        <v>55</v>
      </c>
      <c r="B16" s="4" t="s">
        <v>44</v>
      </c>
      <c r="C16" s="4" t="s">
        <v>45</v>
      </c>
      <c r="D16" s="4" t="s">
        <v>46</v>
      </c>
      <c r="E16" s="4" t="s">
        <v>56</v>
      </c>
    </row>
    <row r="17" spans="1:5" x14ac:dyDescent="0.3">
      <c r="A17" s="4" t="s">
        <v>57</v>
      </c>
      <c r="B17" s="4" t="s">
        <v>49</v>
      </c>
      <c r="C17" s="4" t="s">
        <v>58</v>
      </c>
      <c r="D17" s="4" t="s">
        <v>59</v>
      </c>
      <c r="E17" s="4" t="s">
        <v>60</v>
      </c>
    </row>
    <row r="18" spans="1:5" x14ac:dyDescent="0.3">
      <c r="A18" s="4" t="s">
        <v>61</v>
      </c>
      <c r="B18" s="4" t="s">
        <v>62</v>
      </c>
      <c r="C18" s="4" t="s">
        <v>63</v>
      </c>
      <c r="D18" s="4" t="s">
        <v>59</v>
      </c>
      <c r="E18" s="4" t="s">
        <v>64</v>
      </c>
    </row>
    <row r="19" spans="1:5" x14ac:dyDescent="0.3">
      <c r="A19" s="4" t="s">
        <v>65</v>
      </c>
      <c r="B19" s="4" t="s">
        <v>49</v>
      </c>
      <c r="C19" s="4" t="s">
        <v>45</v>
      </c>
      <c r="D19" s="4" t="s">
        <v>59</v>
      </c>
      <c r="E19" s="4" t="s">
        <v>66</v>
      </c>
    </row>
    <row r="20" spans="1:5" x14ac:dyDescent="0.3">
      <c r="A20" s="4" t="s">
        <v>67</v>
      </c>
      <c r="B20" s="4" t="s">
        <v>49</v>
      </c>
      <c r="C20" s="4" t="s">
        <v>45</v>
      </c>
      <c r="D20" s="4" t="s">
        <v>59</v>
      </c>
      <c r="E20" s="4" t="s">
        <v>66</v>
      </c>
    </row>
    <row r="21" spans="1:5" x14ac:dyDescent="0.3">
      <c r="A21" s="4" t="s">
        <v>68</v>
      </c>
      <c r="B21" s="4" t="s">
        <v>49</v>
      </c>
      <c r="C21" s="4" t="s">
        <v>58</v>
      </c>
      <c r="D21" s="4" t="s">
        <v>59</v>
      </c>
      <c r="E21" s="4" t="s">
        <v>69</v>
      </c>
    </row>
    <row r="22" spans="1:5" x14ac:dyDescent="0.3">
      <c r="A22" s="4" t="s">
        <v>70</v>
      </c>
      <c r="B22" s="4" t="s">
        <v>62</v>
      </c>
      <c r="C22" s="4" t="s">
        <v>63</v>
      </c>
      <c r="D22" s="4" t="s">
        <v>59</v>
      </c>
      <c r="E22" s="4" t="s">
        <v>66</v>
      </c>
    </row>
    <row r="23" spans="1:5" x14ac:dyDescent="0.3">
      <c r="A23" s="4" t="s">
        <v>71</v>
      </c>
      <c r="B23" s="4" t="s">
        <v>72</v>
      </c>
      <c r="C23" s="4" t="s">
        <v>73</v>
      </c>
      <c r="D23" s="4" t="s">
        <v>74</v>
      </c>
      <c r="E23" s="4" t="s">
        <v>75</v>
      </c>
    </row>
    <row r="24" spans="1:5" x14ac:dyDescent="0.3">
      <c r="A24" s="4" t="s">
        <v>76</v>
      </c>
      <c r="B24" s="4" t="s">
        <v>77</v>
      </c>
      <c r="C24" s="4" t="s">
        <v>78</v>
      </c>
      <c r="D24" s="4" t="s">
        <v>59</v>
      </c>
      <c r="E24" s="4" t="s">
        <v>79</v>
      </c>
    </row>
    <row r="25" spans="1:5" x14ac:dyDescent="0.3">
      <c r="A25" s="4" t="s">
        <v>80</v>
      </c>
      <c r="B25" s="4" t="s">
        <v>77</v>
      </c>
      <c r="C25" s="4" t="s">
        <v>78</v>
      </c>
      <c r="D25" s="4" t="s">
        <v>59</v>
      </c>
      <c r="E25" s="4" t="s">
        <v>66</v>
      </c>
    </row>
    <row r="26" spans="1:5" x14ac:dyDescent="0.3">
      <c r="A26" s="4" t="s">
        <v>81</v>
      </c>
      <c r="B26" s="4" t="s">
        <v>82</v>
      </c>
      <c r="C26" s="4" t="s">
        <v>45</v>
      </c>
      <c r="D26" s="4" t="s">
        <v>83</v>
      </c>
      <c r="E26" s="4" t="s">
        <v>84</v>
      </c>
    </row>
    <row r="27" spans="1:5" x14ac:dyDescent="0.3">
      <c r="A27" s="4" t="s">
        <v>85</v>
      </c>
      <c r="B27" s="4" t="s">
        <v>82</v>
      </c>
      <c r="C27" s="4" t="s">
        <v>45</v>
      </c>
      <c r="D27" s="4" t="s">
        <v>59</v>
      </c>
      <c r="E27" s="4" t="s">
        <v>66</v>
      </c>
    </row>
    <row r="28" spans="1:5" x14ac:dyDescent="0.3">
      <c r="A28" s="4" t="s">
        <v>86</v>
      </c>
      <c r="B28" s="4" t="s">
        <v>87</v>
      </c>
      <c r="C28" s="4" t="s">
        <v>45</v>
      </c>
      <c r="D28" s="4" t="s">
        <v>59</v>
      </c>
      <c r="E28" s="4" t="s">
        <v>88</v>
      </c>
    </row>
    <row r="29" spans="1:5" x14ac:dyDescent="0.3">
      <c r="A29" s="4" t="s">
        <v>89</v>
      </c>
      <c r="B29" s="4" t="s">
        <v>90</v>
      </c>
      <c r="C29" s="4" t="s">
        <v>45</v>
      </c>
      <c r="D29" s="4" t="s">
        <v>59</v>
      </c>
      <c r="E29" s="4" t="s">
        <v>66</v>
      </c>
    </row>
    <row r="30" spans="1:5" x14ac:dyDescent="0.3">
      <c r="A30" s="4" t="s">
        <v>91</v>
      </c>
      <c r="B30" s="4" t="s">
        <v>92</v>
      </c>
      <c r="C30" s="4" t="s">
        <v>45</v>
      </c>
      <c r="D30" s="4" t="s">
        <v>59</v>
      </c>
      <c r="E30" s="4" t="s">
        <v>66</v>
      </c>
    </row>
    <row r="31" spans="1:5" x14ac:dyDescent="0.3">
      <c r="A31" s="4" t="s">
        <v>93</v>
      </c>
      <c r="B31" s="4" t="s">
        <v>94</v>
      </c>
      <c r="C31" s="4" t="s">
        <v>45</v>
      </c>
      <c r="D31" s="4" t="s">
        <v>59</v>
      </c>
      <c r="E31" s="4" t="s">
        <v>95</v>
      </c>
    </row>
    <row r="32" spans="1:5" x14ac:dyDescent="0.3">
      <c r="A32" s="4" t="s">
        <v>96</v>
      </c>
      <c r="B32" s="4" t="s">
        <v>97</v>
      </c>
      <c r="C32" s="4" t="s">
        <v>58</v>
      </c>
      <c r="D32" s="4" t="s">
        <v>59</v>
      </c>
      <c r="E32" s="4" t="s">
        <v>98</v>
      </c>
    </row>
    <row r="34" spans="1:6" x14ac:dyDescent="0.3">
      <c r="A34" s="80" t="s">
        <v>99</v>
      </c>
      <c r="B34" s="80"/>
      <c r="C34" s="80"/>
      <c r="D34" s="80"/>
      <c r="E34" s="80"/>
      <c r="F34" s="80"/>
    </row>
    <row r="35" spans="1:6" x14ac:dyDescent="0.3">
      <c r="A35" s="3" t="s">
        <v>21</v>
      </c>
      <c r="B35" s="3" t="s">
        <v>100</v>
      </c>
      <c r="C35" s="3" t="s">
        <v>101</v>
      </c>
    </row>
    <row r="36" spans="1:6" ht="28.8" x14ac:dyDescent="0.3">
      <c r="A36" s="13">
        <v>1</v>
      </c>
      <c r="B36" s="4" t="s">
        <v>102</v>
      </c>
      <c r="C36" s="4" t="s">
        <v>103</v>
      </c>
    </row>
    <row r="37" spans="1:6" ht="28.8" x14ac:dyDescent="0.3">
      <c r="A37" s="13">
        <v>2</v>
      </c>
      <c r="B37" s="4" t="s">
        <v>104</v>
      </c>
      <c r="C37" s="4" t="s">
        <v>1209</v>
      </c>
    </row>
    <row r="38" spans="1:6" ht="28.8" x14ac:dyDescent="0.3">
      <c r="A38" s="13">
        <v>3</v>
      </c>
      <c r="B38" s="4" t="s">
        <v>105</v>
      </c>
      <c r="C38" s="4" t="s">
        <v>1210</v>
      </c>
    </row>
    <row r="39" spans="1:6" x14ac:dyDescent="0.3">
      <c r="A39" s="13">
        <v>4</v>
      </c>
      <c r="B39" s="4" t="s">
        <v>106</v>
      </c>
      <c r="C39" s="4" t="s">
        <v>107</v>
      </c>
    </row>
    <row r="40" spans="1:6" x14ac:dyDescent="0.3">
      <c r="A40" s="13">
        <v>5</v>
      </c>
      <c r="B40" s="4" t="s">
        <v>108</v>
      </c>
      <c r="C40" s="4" t="s">
        <v>109</v>
      </c>
    </row>
  </sheetData>
  <mergeCells count="4">
    <mergeCell ref="A2:F2"/>
    <mergeCell ref="A4:F4"/>
    <mergeCell ref="A11:F11"/>
    <mergeCell ref="A34:F3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A38" sqref="A38"/>
    </sheetView>
  </sheetViews>
  <sheetFormatPr defaultRowHeight="14.4" x14ac:dyDescent="0.3"/>
  <cols>
    <col min="1" max="1" width="66.109375" bestFit="1" customWidth="1"/>
    <col min="2" max="2" width="33.44140625" bestFit="1" customWidth="1"/>
    <col min="3" max="3" width="145.6640625" customWidth="1"/>
  </cols>
  <sheetData>
    <row r="1" spans="1:3" ht="19.8" x14ac:dyDescent="0.4">
      <c r="A1" s="5" t="s">
        <v>110</v>
      </c>
    </row>
    <row r="2" spans="1:3" x14ac:dyDescent="0.3">
      <c r="A2" s="2" t="s">
        <v>111</v>
      </c>
    </row>
    <row r="4" spans="1:3" ht="17.55" customHeight="1" x14ac:dyDescent="0.3">
      <c r="A4" s="3" t="s">
        <v>112</v>
      </c>
      <c r="B4" s="3" t="s">
        <v>113</v>
      </c>
      <c r="C4" s="3" t="s">
        <v>114</v>
      </c>
    </row>
    <row r="5" spans="1:3" ht="28.8" x14ac:dyDescent="0.3">
      <c r="A5" s="4" t="s">
        <v>115</v>
      </c>
      <c r="B5" s="4" t="s">
        <v>116</v>
      </c>
      <c r="C5" s="4" t="s">
        <v>117</v>
      </c>
    </row>
    <row r="6" spans="1:3" x14ac:dyDescent="0.3">
      <c r="A6" s="4" t="s">
        <v>118</v>
      </c>
      <c r="B6" s="4" t="s">
        <v>119</v>
      </c>
      <c r="C6" s="4" t="s">
        <v>120</v>
      </c>
    </row>
    <row r="7" spans="1:3" x14ac:dyDescent="0.3">
      <c r="A7" s="4" t="s">
        <v>121</v>
      </c>
      <c r="B7" s="4" t="s">
        <v>122</v>
      </c>
      <c r="C7" s="4" t="s">
        <v>123</v>
      </c>
    </row>
    <row r="8" spans="1:3" x14ac:dyDescent="0.3">
      <c r="A8" s="4" t="s">
        <v>124</v>
      </c>
      <c r="B8" s="4" t="s">
        <v>122</v>
      </c>
      <c r="C8" s="4" t="s">
        <v>125</v>
      </c>
    </row>
    <row r="9" spans="1:3" x14ac:dyDescent="0.3">
      <c r="A9" s="4" t="s">
        <v>126</v>
      </c>
      <c r="B9" s="4" t="s">
        <v>122</v>
      </c>
      <c r="C9" s="4" t="s">
        <v>127</v>
      </c>
    </row>
    <row r="10" spans="1:3" x14ac:dyDescent="0.3">
      <c r="A10" s="4" t="s">
        <v>128</v>
      </c>
      <c r="B10" s="4" t="s">
        <v>129</v>
      </c>
      <c r="C10" s="4" t="s">
        <v>130</v>
      </c>
    </row>
    <row r="11" spans="1:3" x14ac:dyDescent="0.3">
      <c r="A11" s="4" t="s">
        <v>131</v>
      </c>
      <c r="B11" s="4" t="s">
        <v>132</v>
      </c>
      <c r="C11" s="4" t="s">
        <v>133</v>
      </c>
    </row>
    <row r="12" spans="1:3" x14ac:dyDescent="0.3">
      <c r="A12" s="4" t="s">
        <v>134</v>
      </c>
      <c r="B12" s="4" t="s">
        <v>135</v>
      </c>
      <c r="C12" s="4" t="s">
        <v>136</v>
      </c>
    </row>
    <row r="13" spans="1:3" x14ac:dyDescent="0.3">
      <c r="A13" s="4" t="s">
        <v>137</v>
      </c>
      <c r="B13" s="4" t="s">
        <v>138</v>
      </c>
      <c r="C13" s="4" t="s">
        <v>139</v>
      </c>
    </row>
    <row r="14" spans="1:3" x14ac:dyDescent="0.3">
      <c r="A14" s="4" t="s">
        <v>140</v>
      </c>
      <c r="B14" s="4" t="s">
        <v>141</v>
      </c>
      <c r="C14" s="4" t="s">
        <v>142</v>
      </c>
    </row>
    <row r="15" spans="1:3" x14ac:dyDescent="0.3">
      <c r="A15" s="4" t="s">
        <v>143</v>
      </c>
      <c r="B15" s="4" t="s">
        <v>144</v>
      </c>
      <c r="C15" s="4" t="s">
        <v>145</v>
      </c>
    </row>
    <row r="16" spans="1:3" x14ac:dyDescent="0.3">
      <c r="A16" s="4" t="s">
        <v>146</v>
      </c>
      <c r="B16" s="4" t="s">
        <v>147</v>
      </c>
      <c r="C16" s="4" t="s">
        <v>148</v>
      </c>
    </row>
    <row r="17" spans="1:3" x14ac:dyDescent="0.3">
      <c r="A17" s="4" t="s">
        <v>149</v>
      </c>
      <c r="B17" s="4" t="s">
        <v>150</v>
      </c>
      <c r="C17" s="4" t="s">
        <v>151</v>
      </c>
    </row>
    <row r="18" spans="1:3" x14ac:dyDescent="0.3">
      <c r="A18" s="4" t="s">
        <v>23</v>
      </c>
      <c r="B18" s="4" t="s">
        <v>152</v>
      </c>
      <c r="C18" s="4" t="s">
        <v>153</v>
      </c>
    </row>
    <row r="19" spans="1:3" x14ac:dyDescent="0.3">
      <c r="A19" s="4" t="s">
        <v>154</v>
      </c>
      <c r="B19" s="4" t="s">
        <v>155</v>
      </c>
      <c r="C19" s="4" t="s">
        <v>156</v>
      </c>
    </row>
    <row r="20" spans="1:3" x14ac:dyDescent="0.3">
      <c r="A20" s="4" t="s">
        <v>157</v>
      </c>
      <c r="B20" s="4" t="s">
        <v>158</v>
      </c>
      <c r="C20" s="4" t="s">
        <v>159</v>
      </c>
    </row>
    <row r="21" spans="1:3" x14ac:dyDescent="0.3">
      <c r="A21" s="4" t="s">
        <v>160</v>
      </c>
      <c r="B21" s="4" t="s">
        <v>161</v>
      </c>
      <c r="C21" s="4" t="s">
        <v>162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topLeftCell="A34" workbookViewId="0">
      <selection activeCell="B75" sqref="B75"/>
    </sheetView>
  </sheetViews>
  <sheetFormatPr defaultRowHeight="14.4" x14ac:dyDescent="0.3"/>
  <cols>
    <col min="1" max="1" width="53.44140625" customWidth="1"/>
    <col min="2" max="2" width="110.88671875" customWidth="1"/>
    <col min="3" max="3" width="86.88671875" customWidth="1"/>
    <col min="4" max="4" width="40" customWidth="1"/>
    <col min="5" max="5" width="12" customWidth="1"/>
  </cols>
  <sheetData>
    <row r="1" spans="1:5" ht="19.8" x14ac:dyDescent="0.4">
      <c r="A1" s="5" t="s">
        <v>163</v>
      </c>
    </row>
    <row r="3" spans="1:5" x14ac:dyDescent="0.3">
      <c r="A3" s="80" t="s">
        <v>164</v>
      </c>
      <c r="B3" s="80"/>
      <c r="C3" s="80"/>
      <c r="D3" s="80"/>
      <c r="E3" s="80"/>
    </row>
    <row r="4" spans="1:5" ht="17.55" customHeight="1" x14ac:dyDescent="0.3">
      <c r="A4" s="3" t="s">
        <v>165</v>
      </c>
      <c r="B4" s="3" t="s">
        <v>166</v>
      </c>
      <c r="C4" s="3" t="s">
        <v>167</v>
      </c>
    </row>
    <row r="5" spans="1:5" x14ac:dyDescent="0.3">
      <c r="A5" s="11">
        <v>1</v>
      </c>
      <c r="B5" s="4" t="s">
        <v>168</v>
      </c>
      <c r="C5" s="4" t="s">
        <v>169</v>
      </c>
    </row>
    <row r="6" spans="1:5" x14ac:dyDescent="0.3">
      <c r="A6" s="11">
        <v>2</v>
      </c>
      <c r="B6" s="4" t="s">
        <v>170</v>
      </c>
      <c r="C6" s="4" t="s">
        <v>171</v>
      </c>
    </row>
    <row r="7" spans="1:5" x14ac:dyDescent="0.3">
      <c r="A7" s="11">
        <v>4</v>
      </c>
      <c r="B7" s="4" t="s">
        <v>172</v>
      </c>
      <c r="C7" s="4" t="s">
        <v>173</v>
      </c>
    </row>
    <row r="8" spans="1:5" x14ac:dyDescent="0.3">
      <c r="A8" s="11">
        <v>8</v>
      </c>
      <c r="B8" s="4" t="s">
        <v>174</v>
      </c>
      <c r="C8" s="4" t="s">
        <v>175</v>
      </c>
    </row>
    <row r="9" spans="1:5" x14ac:dyDescent="0.3">
      <c r="A9" s="11">
        <v>16</v>
      </c>
      <c r="B9" s="4" t="s">
        <v>176</v>
      </c>
      <c r="C9" s="4" t="s">
        <v>177</v>
      </c>
    </row>
    <row r="10" spans="1:5" x14ac:dyDescent="0.3">
      <c r="A10" s="11" t="s">
        <v>178</v>
      </c>
      <c r="B10" s="4" t="s">
        <v>176</v>
      </c>
      <c r="C10" s="4" t="s">
        <v>179</v>
      </c>
    </row>
    <row r="11" spans="1:5" x14ac:dyDescent="0.3">
      <c r="A11" s="11" t="s">
        <v>180</v>
      </c>
      <c r="B11" s="4" t="s">
        <v>181</v>
      </c>
      <c r="C11" s="4" t="s">
        <v>182</v>
      </c>
    </row>
    <row r="12" spans="1:5" x14ac:dyDescent="0.3">
      <c r="A12" s="11" t="s">
        <v>183</v>
      </c>
      <c r="B12" s="4" t="s">
        <v>184</v>
      </c>
      <c r="C12" s="4" t="s">
        <v>185</v>
      </c>
    </row>
    <row r="13" spans="1:5" x14ac:dyDescent="0.3">
      <c r="A13" s="11" t="s">
        <v>186</v>
      </c>
      <c r="B13" s="4" t="s">
        <v>187</v>
      </c>
      <c r="C13" s="4" t="s">
        <v>188</v>
      </c>
    </row>
    <row r="14" spans="1:5" x14ac:dyDescent="0.3">
      <c r="A14" s="11" t="s">
        <v>189</v>
      </c>
      <c r="B14" s="4" t="s">
        <v>190</v>
      </c>
      <c r="C14" s="4" t="s">
        <v>191</v>
      </c>
    </row>
    <row r="15" spans="1:5" x14ac:dyDescent="0.3">
      <c r="A15" s="11" t="s">
        <v>192</v>
      </c>
      <c r="B15" s="4" t="s">
        <v>193</v>
      </c>
      <c r="C15" s="4" t="s">
        <v>194</v>
      </c>
    </row>
    <row r="16" spans="1:5" x14ac:dyDescent="0.3">
      <c r="A16" s="11" t="s">
        <v>195</v>
      </c>
      <c r="B16" s="4" t="s">
        <v>196</v>
      </c>
      <c r="C16" s="4" t="s">
        <v>197</v>
      </c>
    </row>
    <row r="18" spans="1:5" x14ac:dyDescent="0.3">
      <c r="A18" s="80" t="s">
        <v>198</v>
      </c>
      <c r="B18" s="80"/>
      <c r="C18" s="80"/>
      <c r="D18" s="80"/>
      <c r="E18" s="80"/>
    </row>
    <row r="19" spans="1:5" ht="17.55" customHeight="1" x14ac:dyDescent="0.3">
      <c r="A19" s="3" t="s">
        <v>199</v>
      </c>
      <c r="B19" s="3" t="s">
        <v>200</v>
      </c>
    </row>
    <row r="20" spans="1:5" x14ac:dyDescent="0.3">
      <c r="A20" s="13">
        <v>2</v>
      </c>
      <c r="B20" s="4" t="s">
        <v>201</v>
      </c>
    </row>
    <row r="21" spans="1:5" x14ac:dyDescent="0.3">
      <c r="A21" s="13">
        <v>4</v>
      </c>
      <c r="B21" s="4" t="s">
        <v>202</v>
      </c>
    </row>
    <row r="22" spans="1:5" x14ac:dyDescent="0.3">
      <c r="A22" s="13">
        <v>8</v>
      </c>
      <c r="B22" s="4" t="s">
        <v>203</v>
      </c>
    </row>
    <row r="23" spans="1:5" x14ac:dyDescent="0.3">
      <c r="A23" s="13">
        <v>16</v>
      </c>
      <c r="B23" s="4" t="s">
        <v>204</v>
      </c>
    </row>
    <row r="24" spans="1:5" x14ac:dyDescent="0.3">
      <c r="A24" s="13">
        <v>32</v>
      </c>
      <c r="B24" s="4" t="s">
        <v>205</v>
      </c>
    </row>
    <row r="26" spans="1:5" x14ac:dyDescent="0.3">
      <c r="A26" s="80" t="s">
        <v>206</v>
      </c>
      <c r="B26" s="80"/>
      <c r="C26" s="80"/>
      <c r="D26" s="80"/>
      <c r="E26" s="80"/>
    </row>
    <row r="27" spans="1:5" ht="17.55" customHeight="1" x14ac:dyDescent="0.3">
      <c r="A27" s="3" t="s">
        <v>207</v>
      </c>
      <c r="B27" s="3" t="s">
        <v>208</v>
      </c>
      <c r="C27" s="3" t="s">
        <v>209</v>
      </c>
    </row>
    <row r="28" spans="1:5" x14ac:dyDescent="0.3">
      <c r="A28" s="4" t="s">
        <v>210</v>
      </c>
      <c r="B28" s="4" t="s">
        <v>211</v>
      </c>
      <c r="C28" s="4" t="s">
        <v>212</v>
      </c>
    </row>
    <row r="29" spans="1:5" x14ac:dyDescent="0.3">
      <c r="A29" s="4" t="s">
        <v>213</v>
      </c>
      <c r="B29" s="4" t="s">
        <v>214</v>
      </c>
      <c r="C29" s="4" t="s">
        <v>212</v>
      </c>
    </row>
    <row r="30" spans="1:5" x14ac:dyDescent="0.3">
      <c r="A30" s="4" t="s">
        <v>215</v>
      </c>
      <c r="B30" s="4" t="s">
        <v>216</v>
      </c>
      <c r="C30" s="4" t="s">
        <v>217</v>
      </c>
    </row>
    <row r="31" spans="1:5" x14ac:dyDescent="0.3">
      <c r="A31" s="4" t="s">
        <v>218</v>
      </c>
      <c r="B31" s="4" t="s">
        <v>219</v>
      </c>
      <c r="C31" s="4" t="s">
        <v>220</v>
      </c>
    </row>
    <row r="32" spans="1:5" x14ac:dyDescent="0.3">
      <c r="A32" s="4" t="s">
        <v>221</v>
      </c>
      <c r="B32" s="4" t="s">
        <v>222</v>
      </c>
      <c r="C32" s="4" t="s">
        <v>52</v>
      </c>
    </row>
    <row r="33" spans="1:3" x14ac:dyDescent="0.3">
      <c r="A33" s="4" t="s">
        <v>223</v>
      </c>
      <c r="B33" s="4" t="s">
        <v>224</v>
      </c>
      <c r="C33" s="4" t="s">
        <v>52</v>
      </c>
    </row>
    <row r="34" spans="1:3" ht="28.8" x14ac:dyDescent="0.3">
      <c r="A34" s="4" t="s">
        <v>225</v>
      </c>
      <c r="B34" s="4" t="s">
        <v>226</v>
      </c>
      <c r="C34" s="4" t="s">
        <v>227</v>
      </c>
    </row>
    <row r="35" spans="1:3" ht="28.8" x14ac:dyDescent="0.3">
      <c r="A35" s="4" t="s">
        <v>228</v>
      </c>
      <c r="B35" s="4" t="s">
        <v>229</v>
      </c>
      <c r="C35" s="4" t="s">
        <v>71</v>
      </c>
    </row>
    <row r="36" spans="1:3" x14ac:dyDescent="0.3">
      <c r="A36" s="4" t="s">
        <v>230</v>
      </c>
      <c r="B36" s="4" t="s">
        <v>231</v>
      </c>
      <c r="C36" s="4" t="s">
        <v>61</v>
      </c>
    </row>
    <row r="37" spans="1:3" x14ac:dyDescent="0.3">
      <c r="A37" s="4" t="s">
        <v>232</v>
      </c>
      <c r="B37" s="4" t="s">
        <v>233</v>
      </c>
      <c r="C37" s="4" t="s">
        <v>61</v>
      </c>
    </row>
    <row r="38" spans="1:3" x14ac:dyDescent="0.3">
      <c r="A38" s="4" t="s">
        <v>234</v>
      </c>
      <c r="B38" s="4" t="s">
        <v>235</v>
      </c>
      <c r="C38" s="4" t="s">
        <v>61</v>
      </c>
    </row>
    <row r="39" spans="1:3" x14ac:dyDescent="0.3">
      <c r="A39" s="4" t="s">
        <v>236</v>
      </c>
      <c r="B39" s="4" t="s">
        <v>237</v>
      </c>
      <c r="C39" s="4" t="s">
        <v>61</v>
      </c>
    </row>
    <row r="40" spans="1:3" x14ac:dyDescent="0.3">
      <c r="A40" s="4" t="s">
        <v>238</v>
      </c>
      <c r="B40" s="4" t="s">
        <v>239</v>
      </c>
      <c r="C40" s="4" t="s">
        <v>61</v>
      </c>
    </row>
    <row r="41" spans="1:3" x14ac:dyDescent="0.3">
      <c r="A41" s="4" t="s">
        <v>240</v>
      </c>
      <c r="B41" s="4" t="s">
        <v>241</v>
      </c>
      <c r="C41" s="4" t="s">
        <v>70</v>
      </c>
    </row>
    <row r="42" spans="1:3" x14ac:dyDescent="0.3">
      <c r="A42" s="4" t="s">
        <v>242</v>
      </c>
      <c r="B42" s="4" t="s">
        <v>243</v>
      </c>
      <c r="C42" s="4" t="s">
        <v>70</v>
      </c>
    </row>
    <row r="43" spans="1:3" x14ac:dyDescent="0.3">
      <c r="A43" s="4" t="s">
        <v>244</v>
      </c>
      <c r="B43" s="4" t="s">
        <v>245</v>
      </c>
      <c r="C43" s="4" t="s">
        <v>70</v>
      </c>
    </row>
    <row r="44" spans="1:3" x14ac:dyDescent="0.3">
      <c r="A44" s="4" t="s">
        <v>246</v>
      </c>
      <c r="B44" s="4" t="s">
        <v>247</v>
      </c>
      <c r="C44" s="4" t="s">
        <v>70</v>
      </c>
    </row>
    <row r="45" spans="1:3" x14ac:dyDescent="0.3">
      <c r="A45" s="4" t="s">
        <v>248</v>
      </c>
      <c r="B45" s="4" t="s">
        <v>249</v>
      </c>
      <c r="C45" s="4" t="s">
        <v>70</v>
      </c>
    </row>
    <row r="46" spans="1:3" x14ac:dyDescent="0.3">
      <c r="A46" s="4" t="s">
        <v>250</v>
      </c>
      <c r="B46" s="4" t="s">
        <v>251</v>
      </c>
      <c r="C46" s="4" t="s">
        <v>81</v>
      </c>
    </row>
    <row r="47" spans="1:3" x14ac:dyDescent="0.3">
      <c r="A47" s="4" t="s">
        <v>252</v>
      </c>
      <c r="B47" s="4" t="s">
        <v>253</v>
      </c>
      <c r="C47" s="4" t="s">
        <v>85</v>
      </c>
    </row>
    <row r="48" spans="1:3" x14ac:dyDescent="0.3">
      <c r="A48" s="4" t="s">
        <v>254</v>
      </c>
      <c r="B48" s="4" t="s">
        <v>255</v>
      </c>
      <c r="C48" s="4" t="s">
        <v>85</v>
      </c>
    </row>
    <row r="49" spans="1:5" x14ac:dyDescent="0.3">
      <c r="A49" s="4" t="s">
        <v>256</v>
      </c>
      <c r="B49" s="4" t="s">
        <v>257</v>
      </c>
      <c r="C49" s="4" t="s">
        <v>85</v>
      </c>
    </row>
    <row r="50" spans="1:5" x14ac:dyDescent="0.3">
      <c r="A50" s="4" t="s">
        <v>258</v>
      </c>
      <c r="B50" s="4" t="s">
        <v>259</v>
      </c>
      <c r="C50" s="4" t="s">
        <v>89</v>
      </c>
    </row>
    <row r="51" spans="1:5" x14ac:dyDescent="0.3">
      <c r="A51" s="4" t="s">
        <v>260</v>
      </c>
      <c r="B51" s="4" t="s">
        <v>261</v>
      </c>
      <c r="C51" s="4" t="s">
        <v>89</v>
      </c>
    </row>
    <row r="52" spans="1:5" x14ac:dyDescent="0.3">
      <c r="A52" s="4" t="s">
        <v>262</v>
      </c>
      <c r="B52" s="4" t="s">
        <v>263</v>
      </c>
      <c r="C52" s="4" t="s">
        <v>89</v>
      </c>
    </row>
    <row r="53" spans="1:5" x14ac:dyDescent="0.3">
      <c r="A53" s="4" t="s">
        <v>264</v>
      </c>
      <c r="B53" s="4" t="s">
        <v>265</v>
      </c>
      <c r="C53" s="4" t="s">
        <v>91</v>
      </c>
    </row>
    <row r="54" spans="1:5" x14ac:dyDescent="0.3">
      <c r="A54" s="4" t="s">
        <v>266</v>
      </c>
      <c r="B54" s="4" t="s">
        <v>267</v>
      </c>
      <c r="C54" s="4" t="s">
        <v>93</v>
      </c>
    </row>
    <row r="55" spans="1:5" x14ac:dyDescent="0.3">
      <c r="A55" s="4" t="s">
        <v>268</v>
      </c>
      <c r="B55" s="4" t="s">
        <v>269</v>
      </c>
      <c r="C55" s="4" t="s">
        <v>93</v>
      </c>
    </row>
    <row r="56" spans="1:5" x14ac:dyDescent="0.3">
      <c r="A56" s="4" t="s">
        <v>270</v>
      </c>
      <c r="B56" s="4" t="s">
        <v>271</v>
      </c>
      <c r="C56" s="4" t="s">
        <v>93</v>
      </c>
    </row>
    <row r="58" spans="1:5" x14ac:dyDescent="0.3">
      <c r="A58" s="80" t="s">
        <v>272</v>
      </c>
      <c r="B58" s="80"/>
      <c r="C58" s="80"/>
      <c r="D58" s="80"/>
      <c r="E58" s="80"/>
    </row>
    <row r="59" spans="1:5" ht="17.55" customHeight="1" x14ac:dyDescent="0.3">
      <c r="A59" s="3" t="s">
        <v>273</v>
      </c>
      <c r="B59" s="3" t="s">
        <v>274</v>
      </c>
      <c r="C59" s="3" t="s">
        <v>275</v>
      </c>
      <c r="D59" s="3" t="s">
        <v>276</v>
      </c>
    </row>
    <row r="60" spans="1:5" ht="28.8" x14ac:dyDescent="0.3">
      <c r="A60" s="4" t="s">
        <v>277</v>
      </c>
      <c r="B60" s="4" t="s">
        <v>278</v>
      </c>
      <c r="C60" s="4" t="s">
        <v>279</v>
      </c>
      <c r="D60" s="4" t="s">
        <v>280</v>
      </c>
    </row>
    <row r="61" spans="1:5" ht="28.8" x14ac:dyDescent="0.3">
      <c r="A61" s="4" t="s">
        <v>277</v>
      </c>
      <c r="B61" s="4" t="s">
        <v>281</v>
      </c>
      <c r="C61" s="4" t="s">
        <v>282</v>
      </c>
      <c r="D61" s="4" t="s">
        <v>283</v>
      </c>
    </row>
    <row r="62" spans="1:5" x14ac:dyDescent="0.3">
      <c r="A62" s="4" t="s">
        <v>277</v>
      </c>
      <c r="B62" s="4" t="s">
        <v>284</v>
      </c>
      <c r="C62" s="4" t="s">
        <v>285</v>
      </c>
      <c r="D62" s="4" t="s">
        <v>286</v>
      </c>
    </row>
    <row r="63" spans="1:5" ht="28.8" x14ac:dyDescent="0.3">
      <c r="A63" s="4" t="s">
        <v>277</v>
      </c>
      <c r="B63" s="4" t="s">
        <v>287</v>
      </c>
      <c r="C63" s="4" t="s">
        <v>288</v>
      </c>
      <c r="D63" s="4" t="s">
        <v>289</v>
      </c>
    </row>
    <row r="64" spans="1:5" x14ac:dyDescent="0.3">
      <c r="A64" s="4" t="s">
        <v>277</v>
      </c>
      <c r="B64" s="4" t="s">
        <v>290</v>
      </c>
      <c r="C64" s="4" t="s">
        <v>291</v>
      </c>
      <c r="D64" s="4" t="s">
        <v>292</v>
      </c>
    </row>
    <row r="65" spans="1:4" ht="43.2" x14ac:dyDescent="0.3">
      <c r="A65" s="4" t="s">
        <v>66</v>
      </c>
      <c r="B65" s="4" t="s">
        <v>66</v>
      </c>
      <c r="C65" s="4" t="s">
        <v>66</v>
      </c>
      <c r="D65" s="4" t="s">
        <v>293</v>
      </c>
    </row>
  </sheetData>
  <mergeCells count="4">
    <mergeCell ref="A3:E3"/>
    <mergeCell ref="A18:E18"/>
    <mergeCell ref="A26:E26"/>
    <mergeCell ref="A58:E5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A7" sqref="A7:E7"/>
    </sheetView>
  </sheetViews>
  <sheetFormatPr defaultRowHeight="14.4" x14ac:dyDescent="0.3"/>
  <cols>
    <col min="1" max="1" width="16.109375" style="14" customWidth="1"/>
    <col min="2" max="2" width="37.21875" style="15" customWidth="1"/>
    <col min="3" max="3" width="20" customWidth="1"/>
    <col min="4" max="4" width="63.44140625" customWidth="1"/>
    <col min="5" max="5" width="135.109375" customWidth="1"/>
  </cols>
  <sheetData>
    <row r="1" spans="1:5" ht="19.8" x14ac:dyDescent="0.3">
      <c r="A1" s="12" t="s">
        <v>294</v>
      </c>
    </row>
    <row r="2" spans="1:5" x14ac:dyDescent="0.3">
      <c r="A2" s="79" t="s">
        <v>295</v>
      </c>
      <c r="B2" s="79"/>
      <c r="C2" s="79"/>
      <c r="D2" s="79"/>
      <c r="E2" s="79"/>
    </row>
    <row r="4" spans="1:5" ht="17.55" customHeight="1" x14ac:dyDescent="0.3">
      <c r="A4" s="10" t="s">
        <v>21</v>
      </c>
      <c r="B4" s="3" t="s">
        <v>296</v>
      </c>
      <c r="C4" s="3" t="s">
        <v>297</v>
      </c>
      <c r="D4" s="3" t="s">
        <v>298</v>
      </c>
      <c r="E4" s="3" t="s">
        <v>299</v>
      </c>
    </row>
    <row r="5" spans="1:5" ht="28.8" x14ac:dyDescent="0.3">
      <c r="A5" s="13">
        <v>1</v>
      </c>
      <c r="B5" s="16" t="s">
        <v>300</v>
      </c>
      <c r="C5" s="4" t="s">
        <v>301</v>
      </c>
      <c r="D5" s="4" t="s">
        <v>302</v>
      </c>
      <c r="E5" s="4" t="s">
        <v>303</v>
      </c>
    </row>
    <row r="6" spans="1:5" ht="43.2" x14ac:dyDescent="0.3">
      <c r="A6" s="13">
        <v>2</v>
      </c>
      <c r="B6" s="16" t="s">
        <v>304</v>
      </c>
      <c r="C6" s="4" t="s">
        <v>301</v>
      </c>
      <c r="D6" s="4" t="s">
        <v>305</v>
      </c>
      <c r="E6" s="4" t="s">
        <v>306</v>
      </c>
    </row>
    <row r="7" spans="1:5" ht="28.8" x14ac:dyDescent="0.3">
      <c r="A7" s="13">
        <v>3</v>
      </c>
      <c r="B7" s="16" t="s">
        <v>307</v>
      </c>
      <c r="C7" s="4" t="s">
        <v>301</v>
      </c>
      <c r="D7" s="4" t="s">
        <v>1211</v>
      </c>
      <c r="E7" s="4" t="s">
        <v>1212</v>
      </c>
    </row>
    <row r="8" spans="1:5" x14ac:dyDescent="0.3">
      <c r="A8" s="13">
        <v>4</v>
      </c>
      <c r="B8" s="16" t="s">
        <v>308</v>
      </c>
      <c r="C8" s="4" t="s">
        <v>301</v>
      </c>
      <c r="D8" s="4" t="s">
        <v>71</v>
      </c>
      <c r="E8" s="4" t="s">
        <v>309</v>
      </c>
    </row>
    <row r="9" spans="1:5" ht="28.8" x14ac:dyDescent="0.3">
      <c r="A9" s="13">
        <v>5</v>
      </c>
      <c r="B9" s="16" t="s">
        <v>310</v>
      </c>
      <c r="C9" s="4" t="s">
        <v>301</v>
      </c>
      <c r="D9" s="4" t="s">
        <v>311</v>
      </c>
      <c r="E9" s="4" t="s">
        <v>312</v>
      </c>
    </row>
    <row r="10" spans="1:5" ht="43.2" x14ac:dyDescent="0.3">
      <c r="A10" s="13">
        <v>6</v>
      </c>
      <c r="B10" s="16" t="s">
        <v>313</v>
      </c>
      <c r="C10" s="4" t="s">
        <v>314</v>
      </c>
      <c r="D10" s="4" t="s">
        <v>315</v>
      </c>
      <c r="E10" s="4" t="s">
        <v>316</v>
      </c>
    </row>
    <row r="11" spans="1:5" ht="43.2" x14ac:dyDescent="0.3">
      <c r="A11" s="13">
        <v>7</v>
      </c>
      <c r="B11" s="16" t="s">
        <v>317</v>
      </c>
      <c r="C11" s="4" t="s">
        <v>314</v>
      </c>
      <c r="D11" s="4" t="s">
        <v>318</v>
      </c>
      <c r="E11" s="4" t="s">
        <v>319</v>
      </c>
    </row>
    <row r="12" spans="1:5" ht="28.8" x14ac:dyDescent="0.3">
      <c r="A12" s="13" t="s">
        <v>320</v>
      </c>
      <c r="B12" s="16" t="s">
        <v>321</v>
      </c>
      <c r="C12" s="4" t="s">
        <v>301</v>
      </c>
      <c r="D12" s="4" t="s">
        <v>322</v>
      </c>
      <c r="E12" s="4" t="s">
        <v>323</v>
      </c>
    </row>
    <row r="13" spans="1:5" ht="28.8" x14ac:dyDescent="0.3">
      <c r="A13" s="13" t="s">
        <v>324</v>
      </c>
      <c r="B13" s="16" t="s">
        <v>325</v>
      </c>
      <c r="C13" s="4" t="s">
        <v>301</v>
      </c>
      <c r="D13" s="4" t="s">
        <v>322</v>
      </c>
      <c r="E13" s="4" t="s">
        <v>326</v>
      </c>
    </row>
    <row r="14" spans="1:5" x14ac:dyDescent="0.3">
      <c r="A14" s="13">
        <v>8</v>
      </c>
      <c r="B14" s="16" t="s">
        <v>327</v>
      </c>
      <c r="C14" s="4" t="s">
        <v>314</v>
      </c>
      <c r="D14" s="4" t="s">
        <v>322</v>
      </c>
      <c r="E14" s="4" t="s">
        <v>328</v>
      </c>
    </row>
    <row r="15" spans="1:5" x14ac:dyDescent="0.3">
      <c r="A15" s="13">
        <v>9</v>
      </c>
      <c r="B15" s="16" t="s">
        <v>329</v>
      </c>
      <c r="C15" s="4" t="s">
        <v>314</v>
      </c>
      <c r="D15" s="4" t="s">
        <v>330</v>
      </c>
      <c r="E15" s="4" t="s">
        <v>331</v>
      </c>
    </row>
    <row r="16" spans="1:5" x14ac:dyDescent="0.3">
      <c r="A16" s="13">
        <v>10</v>
      </c>
      <c r="B16" s="16" t="s">
        <v>332</v>
      </c>
      <c r="C16" s="4" t="s">
        <v>333</v>
      </c>
      <c r="D16" s="4" t="s">
        <v>334</v>
      </c>
      <c r="E16" s="4" t="s">
        <v>335</v>
      </c>
    </row>
    <row r="17" spans="1:5" x14ac:dyDescent="0.3">
      <c r="A17" s="13">
        <v>11</v>
      </c>
      <c r="B17" s="16" t="s">
        <v>336</v>
      </c>
      <c r="C17" s="4" t="s">
        <v>301</v>
      </c>
      <c r="D17" s="4" t="s">
        <v>337</v>
      </c>
      <c r="E17" s="4" t="s">
        <v>338</v>
      </c>
    </row>
    <row r="18" spans="1:5" ht="28.8" x14ac:dyDescent="0.3">
      <c r="A18" s="13">
        <v>12</v>
      </c>
      <c r="B18" s="16" t="s">
        <v>339</v>
      </c>
      <c r="C18" s="4" t="s">
        <v>301</v>
      </c>
      <c r="D18" s="4" t="s">
        <v>340</v>
      </c>
      <c r="E18" s="4" t="s">
        <v>341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7"/>
  <sheetViews>
    <sheetView workbookViewId="0">
      <selection activeCell="A39" sqref="A39:C39"/>
    </sheetView>
  </sheetViews>
  <sheetFormatPr defaultRowHeight="14.4" x14ac:dyDescent="0.3"/>
  <cols>
    <col min="1" max="1" width="48" customWidth="1"/>
    <col min="2" max="2" width="46" customWidth="1"/>
    <col min="3" max="3" width="62" customWidth="1"/>
    <col min="4" max="4" width="30" customWidth="1"/>
    <col min="5" max="5" width="12" customWidth="1"/>
  </cols>
  <sheetData>
    <row r="1" spans="1:5" ht="19.8" x14ac:dyDescent="0.4">
      <c r="A1" s="5" t="s">
        <v>342</v>
      </c>
    </row>
    <row r="2" spans="1:5" ht="25.65" customHeight="1" x14ac:dyDescent="0.3">
      <c r="A2" s="79" t="s">
        <v>343</v>
      </c>
      <c r="B2" s="79"/>
      <c r="C2" s="79"/>
      <c r="D2" s="79"/>
      <c r="E2" s="79"/>
    </row>
    <row r="4" spans="1:5" x14ac:dyDescent="0.3">
      <c r="A4" s="80" t="s">
        <v>344</v>
      </c>
      <c r="B4" s="80"/>
      <c r="C4" s="80"/>
      <c r="D4" s="80"/>
      <c r="E4" s="80"/>
    </row>
    <row r="5" spans="1:5" ht="17.55" customHeight="1" x14ac:dyDescent="0.3">
      <c r="A5" s="3" t="s">
        <v>38</v>
      </c>
      <c r="B5" s="3" t="s">
        <v>345</v>
      </c>
      <c r="C5" s="3" t="s">
        <v>346</v>
      </c>
      <c r="D5" s="3" t="s">
        <v>42</v>
      </c>
    </row>
    <row r="6" spans="1:5" x14ac:dyDescent="0.3">
      <c r="A6" s="4" t="s">
        <v>43</v>
      </c>
      <c r="B6" s="4" t="s">
        <v>347</v>
      </c>
      <c r="C6" s="4" t="s">
        <v>348</v>
      </c>
      <c r="D6" s="4" t="s">
        <v>349</v>
      </c>
    </row>
    <row r="7" spans="1:5" x14ac:dyDescent="0.3">
      <c r="A7" s="4" t="s">
        <v>48</v>
      </c>
      <c r="B7" s="4" t="s">
        <v>350</v>
      </c>
      <c r="C7" s="4" t="s">
        <v>348</v>
      </c>
      <c r="D7" s="4" t="s">
        <v>66</v>
      </c>
    </row>
    <row r="8" spans="1:5" x14ac:dyDescent="0.3">
      <c r="A8" s="4" t="s">
        <v>52</v>
      </c>
      <c r="B8" s="4" t="s">
        <v>351</v>
      </c>
      <c r="C8" s="4" t="s">
        <v>348</v>
      </c>
      <c r="D8" s="4" t="s">
        <v>66</v>
      </c>
    </row>
    <row r="9" spans="1:5" x14ac:dyDescent="0.3">
      <c r="A9" s="4" t="s">
        <v>55</v>
      </c>
      <c r="B9" s="4" t="s">
        <v>352</v>
      </c>
      <c r="C9" s="4" t="s">
        <v>348</v>
      </c>
      <c r="D9" s="4" t="s">
        <v>66</v>
      </c>
    </row>
    <row r="10" spans="1:5" ht="28.8" x14ac:dyDescent="0.3">
      <c r="A10" s="4" t="s">
        <v>57</v>
      </c>
      <c r="B10" s="4" t="s">
        <v>353</v>
      </c>
      <c r="C10" s="4" t="s">
        <v>354</v>
      </c>
      <c r="D10" s="4" t="s">
        <v>355</v>
      </c>
    </row>
    <row r="11" spans="1:5" x14ac:dyDescent="0.3">
      <c r="A11" s="4" t="s">
        <v>61</v>
      </c>
      <c r="B11" s="4" t="s">
        <v>356</v>
      </c>
      <c r="C11" s="4" t="s">
        <v>357</v>
      </c>
      <c r="D11" s="4" t="s">
        <v>358</v>
      </c>
    </row>
    <row r="12" spans="1:5" x14ac:dyDescent="0.3">
      <c r="A12" s="4" t="s">
        <v>65</v>
      </c>
      <c r="B12" s="4" t="s">
        <v>359</v>
      </c>
      <c r="C12" s="4" t="s">
        <v>348</v>
      </c>
      <c r="D12" s="4" t="s">
        <v>66</v>
      </c>
    </row>
    <row r="13" spans="1:5" x14ac:dyDescent="0.3">
      <c r="A13" s="4" t="s">
        <v>67</v>
      </c>
      <c r="B13" s="4" t="s">
        <v>360</v>
      </c>
      <c r="C13" s="4" t="s">
        <v>348</v>
      </c>
      <c r="D13" s="4" t="s">
        <v>66</v>
      </c>
    </row>
    <row r="14" spans="1:5" x14ac:dyDescent="0.3">
      <c r="A14" s="4" t="s">
        <v>68</v>
      </c>
      <c r="B14" s="4" t="s">
        <v>361</v>
      </c>
      <c r="C14" s="4" t="s">
        <v>362</v>
      </c>
      <c r="D14" s="4" t="s">
        <v>363</v>
      </c>
    </row>
    <row r="15" spans="1:5" x14ac:dyDescent="0.3">
      <c r="A15" s="4" t="s">
        <v>70</v>
      </c>
      <c r="B15" s="4" t="s">
        <v>364</v>
      </c>
      <c r="C15" s="4" t="s">
        <v>357</v>
      </c>
      <c r="D15" s="4" t="s">
        <v>365</v>
      </c>
    </row>
    <row r="16" spans="1:5" ht="28.8" x14ac:dyDescent="0.3">
      <c r="A16" s="4" t="s">
        <v>71</v>
      </c>
      <c r="B16" s="4" t="s">
        <v>366</v>
      </c>
      <c r="C16" s="4" t="s">
        <v>348</v>
      </c>
      <c r="D16" s="4" t="s">
        <v>367</v>
      </c>
    </row>
    <row r="17" spans="1:5" x14ac:dyDescent="0.3">
      <c r="A17" s="4" t="s">
        <v>76</v>
      </c>
      <c r="B17" s="4" t="s">
        <v>368</v>
      </c>
      <c r="C17" s="4" t="s">
        <v>369</v>
      </c>
      <c r="D17" s="4" t="s">
        <v>365</v>
      </c>
    </row>
    <row r="18" spans="1:5" x14ac:dyDescent="0.3">
      <c r="A18" s="4" t="s">
        <v>80</v>
      </c>
      <c r="B18" s="4" t="s">
        <v>370</v>
      </c>
      <c r="C18" s="4" t="s">
        <v>369</v>
      </c>
      <c r="D18" s="4" t="s">
        <v>365</v>
      </c>
    </row>
    <row r="19" spans="1:5" x14ac:dyDescent="0.3">
      <c r="A19" s="4" t="s">
        <v>81</v>
      </c>
      <c r="B19" s="4" t="s">
        <v>371</v>
      </c>
      <c r="C19" s="4" t="s">
        <v>348</v>
      </c>
      <c r="D19" s="4" t="s">
        <v>66</v>
      </c>
    </row>
    <row r="20" spans="1:5" x14ac:dyDescent="0.3">
      <c r="A20" s="4" t="s">
        <v>85</v>
      </c>
      <c r="B20" s="4" t="s">
        <v>372</v>
      </c>
      <c r="C20" s="4" t="s">
        <v>348</v>
      </c>
      <c r="D20" s="4" t="s">
        <v>66</v>
      </c>
    </row>
    <row r="21" spans="1:5" x14ac:dyDescent="0.3">
      <c r="A21" s="4" t="s">
        <v>86</v>
      </c>
      <c r="B21" s="4" t="s">
        <v>373</v>
      </c>
      <c r="C21" s="4" t="s">
        <v>348</v>
      </c>
      <c r="D21" s="4" t="s">
        <v>66</v>
      </c>
    </row>
    <row r="22" spans="1:5" x14ac:dyDescent="0.3">
      <c r="A22" s="4" t="s">
        <v>89</v>
      </c>
      <c r="B22" s="4" t="s">
        <v>374</v>
      </c>
      <c r="C22" s="4" t="s">
        <v>348</v>
      </c>
      <c r="D22" s="4" t="s">
        <v>66</v>
      </c>
    </row>
    <row r="23" spans="1:5" x14ac:dyDescent="0.3">
      <c r="A23" s="4" t="s">
        <v>91</v>
      </c>
      <c r="B23" s="4" t="s">
        <v>375</v>
      </c>
      <c r="C23" s="4" t="s">
        <v>348</v>
      </c>
      <c r="D23" s="4" t="s">
        <v>66</v>
      </c>
    </row>
    <row r="24" spans="1:5" x14ac:dyDescent="0.3">
      <c r="A24" s="4" t="s">
        <v>93</v>
      </c>
      <c r="B24" s="4" t="s">
        <v>376</v>
      </c>
      <c r="C24" s="4" t="s">
        <v>348</v>
      </c>
      <c r="D24" s="4" t="s">
        <v>66</v>
      </c>
    </row>
    <row r="25" spans="1:5" ht="28.8" x14ac:dyDescent="0.3">
      <c r="A25" s="4" t="s">
        <v>96</v>
      </c>
      <c r="B25" s="4" t="s">
        <v>377</v>
      </c>
      <c r="C25" s="4" t="s">
        <v>378</v>
      </c>
      <c r="D25" s="4" t="s">
        <v>379</v>
      </c>
    </row>
    <row r="26" spans="1:5" x14ac:dyDescent="0.3">
      <c r="A26" s="4" t="s">
        <v>380</v>
      </c>
      <c r="B26" s="4" t="s">
        <v>381</v>
      </c>
      <c r="C26" s="4" t="s">
        <v>382</v>
      </c>
      <c r="D26" s="4" t="s">
        <v>45</v>
      </c>
    </row>
    <row r="28" spans="1:5" x14ac:dyDescent="0.3">
      <c r="A28" s="80" t="s">
        <v>383</v>
      </c>
      <c r="B28" s="80"/>
      <c r="C28" s="80"/>
      <c r="D28" s="80"/>
      <c r="E28" s="80"/>
    </row>
    <row r="29" spans="1:5" ht="17.55" customHeight="1" x14ac:dyDescent="0.3">
      <c r="A29" s="3" t="s">
        <v>384</v>
      </c>
      <c r="B29" s="3" t="s">
        <v>385</v>
      </c>
      <c r="C29" s="3" t="s">
        <v>386</v>
      </c>
    </row>
    <row r="30" spans="1:5" x14ac:dyDescent="0.3">
      <c r="A30" s="4" t="s">
        <v>387</v>
      </c>
      <c r="B30" s="4" t="s">
        <v>388</v>
      </c>
      <c r="C30" s="4" t="s">
        <v>389</v>
      </c>
    </row>
    <row r="31" spans="1:5" x14ac:dyDescent="0.3">
      <c r="A31" s="4" t="s">
        <v>390</v>
      </c>
      <c r="B31" s="4" t="s">
        <v>391</v>
      </c>
      <c r="C31" s="4" t="s">
        <v>392</v>
      </c>
    </row>
    <row r="32" spans="1:5" x14ac:dyDescent="0.3">
      <c r="A32" s="4" t="s">
        <v>393</v>
      </c>
      <c r="B32" s="4" t="s">
        <v>394</v>
      </c>
      <c r="C32" s="4" t="s">
        <v>395</v>
      </c>
    </row>
    <row r="33" spans="1:5" ht="28.8" x14ac:dyDescent="0.3">
      <c r="A33" s="4" t="s">
        <v>396</v>
      </c>
      <c r="B33" s="4" t="s">
        <v>397</v>
      </c>
      <c r="C33" s="4" t="s">
        <v>398</v>
      </c>
    </row>
    <row r="34" spans="1:5" ht="57.6" x14ac:dyDescent="0.3">
      <c r="A34" s="4" t="s">
        <v>399</v>
      </c>
      <c r="B34" s="4" t="s">
        <v>400</v>
      </c>
      <c r="C34" s="4" t="s">
        <v>401</v>
      </c>
    </row>
    <row r="35" spans="1:5" x14ac:dyDescent="0.3">
      <c r="A35" s="4" t="s">
        <v>402</v>
      </c>
      <c r="B35" s="4" t="s">
        <v>403</v>
      </c>
      <c r="C35" s="4" t="s">
        <v>404</v>
      </c>
    </row>
    <row r="36" spans="1:5" ht="28.8" x14ac:dyDescent="0.3">
      <c r="A36" s="4" t="s">
        <v>405</v>
      </c>
      <c r="B36" s="4" t="s">
        <v>406</v>
      </c>
      <c r="C36" s="4" t="s">
        <v>407</v>
      </c>
    </row>
    <row r="37" spans="1:5" x14ac:dyDescent="0.3">
      <c r="A37" s="4" t="s">
        <v>408</v>
      </c>
      <c r="B37" s="4" t="s">
        <v>409</v>
      </c>
      <c r="C37" s="4" t="s">
        <v>410</v>
      </c>
    </row>
    <row r="38" spans="1:5" ht="28.8" x14ac:dyDescent="0.3">
      <c r="A38" s="4" t="s">
        <v>411</v>
      </c>
      <c r="B38" s="4" t="s">
        <v>412</v>
      </c>
      <c r="C38" s="4" t="s">
        <v>413</v>
      </c>
    </row>
    <row r="39" spans="1:5" ht="28.8" x14ac:dyDescent="0.3">
      <c r="A39" s="4" t="s">
        <v>414</v>
      </c>
      <c r="B39" s="4" t="s">
        <v>1217</v>
      </c>
      <c r="C39" s="4" t="s">
        <v>1218</v>
      </c>
    </row>
    <row r="41" spans="1:5" x14ac:dyDescent="0.3">
      <c r="A41" s="80" t="s">
        <v>415</v>
      </c>
      <c r="B41" s="80"/>
      <c r="C41" s="80"/>
      <c r="D41" s="80"/>
      <c r="E41" s="80"/>
    </row>
    <row r="42" spans="1:5" ht="17.55" customHeight="1" x14ac:dyDescent="0.3">
      <c r="A42" s="3" t="s">
        <v>384</v>
      </c>
      <c r="B42" s="3" t="s">
        <v>385</v>
      </c>
      <c r="C42" s="3" t="s">
        <v>4</v>
      </c>
    </row>
    <row r="43" spans="1:5" x14ac:dyDescent="0.3">
      <c r="A43" s="4" t="s">
        <v>416</v>
      </c>
      <c r="B43" s="4" t="s">
        <v>417</v>
      </c>
      <c r="C43" s="4" t="s">
        <v>418</v>
      </c>
    </row>
    <row r="44" spans="1:5" x14ac:dyDescent="0.3">
      <c r="A44" s="4" t="s">
        <v>419</v>
      </c>
      <c r="B44" s="4" t="s">
        <v>420</v>
      </c>
      <c r="C44" s="4" t="s">
        <v>421</v>
      </c>
    </row>
    <row r="45" spans="1:5" x14ac:dyDescent="0.3">
      <c r="A45" s="4" t="s">
        <v>422</v>
      </c>
      <c r="B45" s="4" t="s">
        <v>423</v>
      </c>
      <c r="C45" s="4" t="s">
        <v>424</v>
      </c>
    </row>
    <row r="46" spans="1:5" x14ac:dyDescent="0.3">
      <c r="A46" s="4" t="s">
        <v>425</v>
      </c>
      <c r="B46" s="4" t="s">
        <v>426</v>
      </c>
      <c r="C46" s="4" t="s">
        <v>427</v>
      </c>
    </row>
    <row r="47" spans="1:5" x14ac:dyDescent="0.3">
      <c r="A47" s="4" t="s">
        <v>428</v>
      </c>
      <c r="B47" s="4" t="s">
        <v>429</v>
      </c>
      <c r="C47" s="4" t="s">
        <v>430</v>
      </c>
    </row>
    <row r="48" spans="1:5" x14ac:dyDescent="0.3">
      <c r="A48" s="4" t="s">
        <v>431</v>
      </c>
      <c r="B48" s="4" t="s">
        <v>432</v>
      </c>
      <c r="C48" s="4" t="s">
        <v>433</v>
      </c>
    </row>
    <row r="49" spans="1:5" ht="28.8" x14ac:dyDescent="0.3">
      <c r="A49" s="4" t="s">
        <v>434</v>
      </c>
      <c r="B49" s="4" t="s">
        <v>435</v>
      </c>
      <c r="C49" s="4" t="s">
        <v>436</v>
      </c>
    </row>
    <row r="50" spans="1:5" x14ac:dyDescent="0.3">
      <c r="A50" s="4" t="s">
        <v>437</v>
      </c>
      <c r="B50" s="4" t="s">
        <v>438</v>
      </c>
      <c r="C50" s="4" t="s">
        <v>439</v>
      </c>
    </row>
    <row r="51" spans="1:5" x14ac:dyDescent="0.3">
      <c r="A51" s="4" t="s">
        <v>440</v>
      </c>
      <c r="B51" s="4" t="s">
        <v>441</v>
      </c>
      <c r="C51" s="4" t="s">
        <v>442</v>
      </c>
    </row>
    <row r="52" spans="1:5" x14ac:dyDescent="0.3">
      <c r="A52" s="4" t="s">
        <v>443</v>
      </c>
      <c r="B52" s="4" t="s">
        <v>444</v>
      </c>
      <c r="C52" s="4" t="s">
        <v>445</v>
      </c>
    </row>
    <row r="53" spans="1:5" x14ac:dyDescent="0.3">
      <c r="A53" s="4" t="s">
        <v>446</v>
      </c>
      <c r="B53" s="4" t="s">
        <v>447</v>
      </c>
      <c r="C53" s="4" t="s">
        <v>448</v>
      </c>
    </row>
    <row r="55" spans="1:5" x14ac:dyDescent="0.3">
      <c r="A55" s="80" t="s">
        <v>449</v>
      </c>
      <c r="B55" s="80"/>
      <c r="C55" s="80"/>
      <c r="D55" s="80"/>
      <c r="E55" s="80"/>
    </row>
    <row r="56" spans="1:5" ht="17.55" customHeight="1" x14ac:dyDescent="0.3">
      <c r="A56" s="3" t="s">
        <v>345</v>
      </c>
      <c r="B56" s="3" t="s">
        <v>450</v>
      </c>
      <c r="C56" s="3" t="s">
        <v>165</v>
      </c>
    </row>
    <row r="57" spans="1:5" x14ac:dyDescent="0.3">
      <c r="A57" s="4" t="s">
        <v>451</v>
      </c>
      <c r="B57" s="4" t="s">
        <v>452</v>
      </c>
      <c r="C57" s="4" t="s">
        <v>453</v>
      </c>
    </row>
    <row r="58" spans="1:5" x14ac:dyDescent="0.3">
      <c r="A58" s="4" t="s">
        <v>454</v>
      </c>
      <c r="B58" s="4" t="s">
        <v>455</v>
      </c>
      <c r="C58" s="4" t="s">
        <v>456</v>
      </c>
    </row>
    <row r="59" spans="1:5" x14ac:dyDescent="0.3">
      <c r="A59" s="4" t="s">
        <v>457</v>
      </c>
      <c r="B59" s="4" t="s">
        <v>458</v>
      </c>
      <c r="C59" s="4" t="s">
        <v>459</v>
      </c>
    </row>
    <row r="60" spans="1:5" x14ac:dyDescent="0.3">
      <c r="A60" s="4" t="s">
        <v>460</v>
      </c>
      <c r="B60" s="4" t="s">
        <v>461</v>
      </c>
      <c r="C60" s="4" t="s">
        <v>459</v>
      </c>
    </row>
    <row r="61" spans="1:5" x14ac:dyDescent="0.3">
      <c r="A61" s="4" t="s">
        <v>462</v>
      </c>
      <c r="B61" s="4" t="s">
        <v>463</v>
      </c>
      <c r="C61" s="4" t="s">
        <v>459</v>
      </c>
    </row>
    <row r="62" spans="1:5" ht="28.8" x14ac:dyDescent="0.3">
      <c r="A62" s="4" t="s">
        <v>464</v>
      </c>
      <c r="B62" s="4" t="s">
        <v>465</v>
      </c>
      <c r="C62" s="4" t="s">
        <v>459</v>
      </c>
    </row>
    <row r="63" spans="1:5" x14ac:dyDescent="0.3">
      <c r="A63" s="4" t="s">
        <v>466</v>
      </c>
      <c r="B63" s="4" t="s">
        <v>467</v>
      </c>
      <c r="C63" s="4" t="s">
        <v>459</v>
      </c>
    </row>
    <row r="64" spans="1:5" ht="28.8" x14ac:dyDescent="0.3">
      <c r="A64" s="4" t="s">
        <v>468</v>
      </c>
      <c r="B64" s="4" t="s">
        <v>469</v>
      </c>
      <c r="C64" s="4" t="s">
        <v>470</v>
      </c>
    </row>
    <row r="65" spans="1:5" x14ac:dyDescent="0.3">
      <c r="A65" s="4" t="s">
        <v>471</v>
      </c>
      <c r="B65" s="4" t="s">
        <v>472</v>
      </c>
      <c r="C65" s="4" t="s">
        <v>473</v>
      </c>
    </row>
    <row r="66" spans="1:5" x14ac:dyDescent="0.3">
      <c r="A66" s="4" t="s">
        <v>474</v>
      </c>
      <c r="B66" s="4" t="s">
        <v>475</v>
      </c>
      <c r="C66" s="4" t="s">
        <v>476</v>
      </c>
    </row>
    <row r="67" spans="1:5" x14ac:dyDescent="0.3">
      <c r="A67" s="4" t="s">
        <v>477</v>
      </c>
      <c r="B67" s="4" t="s">
        <v>478</v>
      </c>
      <c r="C67" s="4" t="s">
        <v>479</v>
      </c>
    </row>
    <row r="68" spans="1:5" x14ac:dyDescent="0.3">
      <c r="A68" s="4" t="s">
        <v>480</v>
      </c>
      <c r="B68" s="4" t="s">
        <v>481</v>
      </c>
      <c r="C68" s="4" t="s">
        <v>482</v>
      </c>
    </row>
    <row r="69" spans="1:5" ht="28.8" x14ac:dyDescent="0.3">
      <c r="A69" s="4" t="s">
        <v>483</v>
      </c>
      <c r="B69" s="4" t="s">
        <v>484</v>
      </c>
      <c r="C69" s="4" t="s">
        <v>485</v>
      </c>
    </row>
    <row r="70" spans="1:5" ht="28.8" x14ac:dyDescent="0.3">
      <c r="A70" s="4" t="s">
        <v>486</v>
      </c>
      <c r="B70" s="4" t="s">
        <v>322</v>
      </c>
      <c r="C70" s="4" t="s">
        <v>487</v>
      </c>
    </row>
    <row r="72" spans="1:5" x14ac:dyDescent="0.3">
      <c r="A72" s="80" t="s">
        <v>488</v>
      </c>
      <c r="B72" s="80"/>
      <c r="C72" s="80"/>
      <c r="D72" s="80"/>
      <c r="E72" s="80"/>
    </row>
    <row r="73" spans="1:5" ht="17.55" customHeight="1" x14ac:dyDescent="0.3">
      <c r="A73" s="3" t="s">
        <v>100</v>
      </c>
      <c r="B73" s="3" t="s">
        <v>101</v>
      </c>
    </row>
    <row r="74" spans="1:5" ht="43.2" x14ac:dyDescent="0.3">
      <c r="A74" s="4" t="s">
        <v>489</v>
      </c>
      <c r="B74" s="4" t="s">
        <v>490</v>
      </c>
    </row>
    <row r="75" spans="1:5" ht="43.2" x14ac:dyDescent="0.3">
      <c r="A75" s="4" t="s">
        <v>491</v>
      </c>
      <c r="B75" s="4" t="s">
        <v>492</v>
      </c>
    </row>
    <row r="76" spans="1:5" ht="57.6" x14ac:dyDescent="0.3">
      <c r="A76" s="4" t="s">
        <v>493</v>
      </c>
      <c r="B76" s="4" t="s">
        <v>494</v>
      </c>
    </row>
    <row r="77" spans="1:5" ht="57.6" x14ac:dyDescent="0.3">
      <c r="A77" s="4" t="s">
        <v>495</v>
      </c>
      <c r="B77" s="4" t="s">
        <v>496</v>
      </c>
    </row>
    <row r="79" spans="1:5" x14ac:dyDescent="0.3">
      <c r="A79" s="80" t="s">
        <v>497</v>
      </c>
      <c r="B79" s="80"/>
      <c r="C79" s="80"/>
      <c r="D79" s="80"/>
      <c r="E79" s="80"/>
    </row>
    <row r="80" spans="1:5" ht="17.55" customHeight="1" x14ac:dyDescent="0.3">
      <c r="A80" s="3" t="s">
        <v>498</v>
      </c>
      <c r="B80" s="3" t="s">
        <v>499</v>
      </c>
      <c r="C80" s="3" t="s">
        <v>500</v>
      </c>
    </row>
    <row r="81" spans="1:3" ht="43.2" x14ac:dyDescent="0.3">
      <c r="A81" s="4" t="s">
        <v>501</v>
      </c>
      <c r="B81" s="4" t="s">
        <v>502</v>
      </c>
      <c r="C81" s="4" t="s">
        <v>503</v>
      </c>
    </row>
    <row r="82" spans="1:3" ht="28.8" x14ac:dyDescent="0.3">
      <c r="A82" s="4" t="s">
        <v>504</v>
      </c>
      <c r="B82" s="4" t="s">
        <v>505</v>
      </c>
      <c r="C82" s="4" t="s">
        <v>506</v>
      </c>
    </row>
    <row r="83" spans="1:3" x14ac:dyDescent="0.3">
      <c r="A83" s="4" t="s">
        <v>507</v>
      </c>
      <c r="B83" s="4" t="s">
        <v>508</v>
      </c>
      <c r="C83" s="4" t="s">
        <v>509</v>
      </c>
    </row>
    <row r="84" spans="1:3" ht="28.8" x14ac:dyDescent="0.3">
      <c r="A84" s="4" t="s">
        <v>510</v>
      </c>
      <c r="B84" s="4" t="s">
        <v>511</v>
      </c>
      <c r="C84" s="4" t="s">
        <v>512</v>
      </c>
    </row>
    <row r="85" spans="1:3" x14ac:dyDescent="0.3">
      <c r="A85" s="4" t="s">
        <v>513</v>
      </c>
      <c r="B85" s="4" t="s">
        <v>514</v>
      </c>
      <c r="C85" s="4" t="s">
        <v>515</v>
      </c>
    </row>
    <row r="86" spans="1:3" x14ac:dyDescent="0.3">
      <c r="A86" s="4" t="s">
        <v>516</v>
      </c>
      <c r="B86" s="4" t="s">
        <v>505</v>
      </c>
      <c r="C86" s="4" t="s">
        <v>517</v>
      </c>
    </row>
    <row r="87" spans="1:3" ht="28.8" x14ac:dyDescent="0.3">
      <c r="A87" s="4" t="s">
        <v>518</v>
      </c>
      <c r="B87" s="4" t="s">
        <v>519</v>
      </c>
      <c r="C87" s="4" t="s">
        <v>520</v>
      </c>
    </row>
  </sheetData>
  <mergeCells count="7">
    <mergeCell ref="A72:E72"/>
    <mergeCell ref="A79:E79"/>
    <mergeCell ref="A2:E2"/>
    <mergeCell ref="A4:E4"/>
    <mergeCell ref="A28:E28"/>
    <mergeCell ref="A41:E41"/>
    <mergeCell ref="A55:E55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"/>
  <sheetViews>
    <sheetView workbookViewId="0">
      <selection activeCell="B11" sqref="B11"/>
    </sheetView>
  </sheetViews>
  <sheetFormatPr defaultRowHeight="14.4" x14ac:dyDescent="0.3"/>
  <cols>
    <col min="1" max="1" width="45.6640625" customWidth="1"/>
    <col min="2" max="2" width="56.21875" customWidth="1"/>
    <col min="3" max="3" width="38" customWidth="1"/>
    <col min="4" max="4" width="44" customWidth="1"/>
    <col min="5" max="5" width="52" customWidth="1"/>
  </cols>
  <sheetData>
    <row r="1" spans="1:5" ht="19.8" x14ac:dyDescent="0.4">
      <c r="A1" s="5" t="s">
        <v>521</v>
      </c>
    </row>
    <row r="2" spans="1:5" ht="35.25" customHeight="1" x14ac:dyDescent="0.3">
      <c r="A2" s="81" t="s">
        <v>522</v>
      </c>
      <c r="B2" s="81"/>
      <c r="C2" s="81"/>
      <c r="D2" s="81"/>
      <c r="E2" s="81"/>
    </row>
    <row r="4" spans="1:5" x14ac:dyDescent="0.3">
      <c r="A4" s="80" t="s">
        <v>523</v>
      </c>
      <c r="B4" s="80"/>
      <c r="C4" s="80"/>
      <c r="D4" s="80"/>
      <c r="E4" s="80"/>
    </row>
    <row r="5" spans="1:5" ht="17.55" customHeight="1" x14ac:dyDescent="0.3">
      <c r="A5" s="3" t="s">
        <v>524</v>
      </c>
      <c r="B5" s="3" t="s">
        <v>525</v>
      </c>
    </row>
    <row r="6" spans="1:5" ht="28.8" x14ac:dyDescent="0.3">
      <c r="A6" s="4" t="s">
        <v>526</v>
      </c>
      <c r="B6" s="4" t="s">
        <v>527</v>
      </c>
    </row>
    <row r="7" spans="1:5" x14ac:dyDescent="0.3">
      <c r="A7" s="4" t="s">
        <v>528</v>
      </c>
      <c r="B7" s="4" t="s">
        <v>529</v>
      </c>
    </row>
    <row r="8" spans="1:5" ht="28.8" x14ac:dyDescent="0.3">
      <c r="A8" s="4" t="s">
        <v>530</v>
      </c>
      <c r="B8" s="4" t="s">
        <v>531</v>
      </c>
    </row>
    <row r="10" spans="1:5" x14ac:dyDescent="0.3">
      <c r="A10" s="80" t="s">
        <v>532</v>
      </c>
      <c r="B10" s="80"/>
      <c r="C10" s="80"/>
      <c r="D10" s="80"/>
      <c r="E10" s="80"/>
    </row>
    <row r="11" spans="1:5" ht="17.55" customHeight="1" x14ac:dyDescent="0.3">
      <c r="A11" s="3" t="s">
        <v>533</v>
      </c>
      <c r="B11" s="3" t="s">
        <v>534</v>
      </c>
      <c r="C11" s="3" t="s">
        <v>535</v>
      </c>
      <c r="D11" s="3" t="s">
        <v>536</v>
      </c>
      <c r="E11" s="3" t="s">
        <v>537</v>
      </c>
    </row>
    <row r="12" spans="1:5" x14ac:dyDescent="0.3">
      <c r="A12" s="4" t="s">
        <v>538</v>
      </c>
      <c r="B12" s="4" t="s">
        <v>539</v>
      </c>
      <c r="C12" s="4" t="s">
        <v>540</v>
      </c>
      <c r="D12" s="4" t="s">
        <v>541</v>
      </c>
      <c r="E12" s="4" t="s">
        <v>542</v>
      </c>
    </row>
    <row r="13" spans="1:5" x14ac:dyDescent="0.3">
      <c r="A13" s="4" t="s">
        <v>543</v>
      </c>
      <c r="B13" s="4" t="s">
        <v>544</v>
      </c>
      <c r="C13" s="4" t="s">
        <v>545</v>
      </c>
      <c r="D13" s="4" t="s">
        <v>546</v>
      </c>
      <c r="E13" s="4" t="s">
        <v>547</v>
      </c>
    </row>
    <row r="14" spans="1:5" x14ac:dyDescent="0.3">
      <c r="A14" s="4" t="s">
        <v>548</v>
      </c>
      <c r="B14" s="4" t="s">
        <v>548</v>
      </c>
      <c r="C14" s="4" t="s">
        <v>549</v>
      </c>
      <c r="D14" s="4" t="s">
        <v>550</v>
      </c>
      <c r="E14" s="4" t="s">
        <v>551</v>
      </c>
    </row>
    <row r="15" spans="1:5" x14ac:dyDescent="0.3">
      <c r="A15" s="4" t="s">
        <v>552</v>
      </c>
      <c r="B15" s="4" t="s">
        <v>553</v>
      </c>
      <c r="C15" s="4" t="s">
        <v>554</v>
      </c>
      <c r="D15" s="4" t="s">
        <v>555</v>
      </c>
      <c r="E15" s="4" t="s">
        <v>556</v>
      </c>
    </row>
    <row r="16" spans="1:5" x14ac:dyDescent="0.3">
      <c r="A16" s="4" t="s">
        <v>557</v>
      </c>
      <c r="B16" s="4" t="s">
        <v>557</v>
      </c>
      <c r="C16" s="4" t="s">
        <v>558</v>
      </c>
      <c r="D16" s="4" t="s">
        <v>559</v>
      </c>
      <c r="E16" s="4" t="s">
        <v>560</v>
      </c>
    </row>
    <row r="17" spans="1:5" x14ac:dyDescent="0.3">
      <c r="A17" s="4" t="s">
        <v>561</v>
      </c>
      <c r="B17" s="4" t="s">
        <v>561</v>
      </c>
      <c r="C17" s="4" t="s">
        <v>562</v>
      </c>
      <c r="D17" s="4" t="s">
        <v>563</v>
      </c>
      <c r="E17" s="4" t="s">
        <v>564</v>
      </c>
    </row>
    <row r="18" spans="1:5" x14ac:dyDescent="0.3">
      <c r="A18" s="4" t="s">
        <v>565</v>
      </c>
      <c r="B18" s="4" t="s">
        <v>565</v>
      </c>
      <c r="C18" s="4" t="s">
        <v>566</v>
      </c>
      <c r="D18" s="4" t="s">
        <v>567</v>
      </c>
      <c r="E18" s="4" t="s">
        <v>568</v>
      </c>
    </row>
    <row r="19" spans="1:5" x14ac:dyDescent="0.3">
      <c r="A19" s="4" t="s">
        <v>569</v>
      </c>
      <c r="B19" s="4" t="s">
        <v>570</v>
      </c>
      <c r="C19" s="4" t="s">
        <v>571</v>
      </c>
      <c r="D19" s="4" t="s">
        <v>572</v>
      </c>
      <c r="E19" s="4" t="s">
        <v>573</v>
      </c>
    </row>
    <row r="20" spans="1:5" ht="28.8" x14ac:dyDescent="0.3">
      <c r="A20" s="4" t="s">
        <v>574</v>
      </c>
      <c r="B20" s="4" t="s">
        <v>575</v>
      </c>
      <c r="C20" s="4" t="s">
        <v>576</v>
      </c>
      <c r="D20" s="4" t="s">
        <v>577</v>
      </c>
      <c r="E20" s="4" t="s">
        <v>578</v>
      </c>
    </row>
    <row r="21" spans="1:5" ht="28.8" x14ac:dyDescent="0.3">
      <c r="A21" s="4" t="s">
        <v>579</v>
      </c>
      <c r="B21" s="4" t="s">
        <v>580</v>
      </c>
      <c r="C21" s="4" t="s">
        <v>581</v>
      </c>
      <c r="D21" s="4" t="s">
        <v>582</v>
      </c>
      <c r="E21" s="4" t="s">
        <v>583</v>
      </c>
    </row>
    <row r="23" spans="1:5" x14ac:dyDescent="0.3">
      <c r="A23" s="80" t="s">
        <v>584</v>
      </c>
      <c r="B23" s="80"/>
      <c r="C23" s="80"/>
      <c r="D23" s="80"/>
      <c r="E23" s="80"/>
    </row>
    <row r="24" spans="1:5" ht="17.55" customHeight="1" x14ac:dyDescent="0.3">
      <c r="A24" s="3" t="s">
        <v>585</v>
      </c>
      <c r="B24" s="3" t="s">
        <v>586</v>
      </c>
      <c r="C24" s="3" t="s">
        <v>587</v>
      </c>
    </row>
    <row r="25" spans="1:5" ht="57.6" x14ac:dyDescent="0.3">
      <c r="A25" s="4" t="s">
        <v>588</v>
      </c>
      <c r="B25" s="4" t="s">
        <v>589</v>
      </c>
      <c r="C25" s="4" t="s">
        <v>590</v>
      </c>
    </row>
    <row r="26" spans="1:5" ht="57.6" x14ac:dyDescent="0.3">
      <c r="A26" s="4" t="s">
        <v>591</v>
      </c>
      <c r="B26" s="4" t="s">
        <v>592</v>
      </c>
      <c r="C26" s="4" t="s">
        <v>593</v>
      </c>
    </row>
    <row r="27" spans="1:5" ht="43.2" x14ac:dyDescent="0.3">
      <c r="A27" s="4" t="s">
        <v>594</v>
      </c>
      <c r="B27" s="4" t="s">
        <v>595</v>
      </c>
      <c r="C27" s="4" t="s">
        <v>596</v>
      </c>
    </row>
    <row r="29" spans="1:5" x14ac:dyDescent="0.3">
      <c r="A29" s="80" t="s">
        <v>597</v>
      </c>
      <c r="B29" s="80"/>
      <c r="C29" s="80"/>
      <c r="D29" s="80"/>
      <c r="E29" s="80"/>
    </row>
    <row r="30" spans="1:5" ht="17.55" customHeight="1" x14ac:dyDescent="0.3">
      <c r="A30" s="3" t="s">
        <v>598</v>
      </c>
      <c r="B30" s="3" t="s">
        <v>599</v>
      </c>
      <c r="C30" s="3" t="s">
        <v>536</v>
      </c>
      <c r="D30" s="3" t="s">
        <v>600</v>
      </c>
      <c r="E30" s="3" t="s">
        <v>601</v>
      </c>
    </row>
    <row r="31" spans="1:5" x14ac:dyDescent="0.3">
      <c r="A31" s="4" t="s">
        <v>602</v>
      </c>
      <c r="B31" s="4" t="s">
        <v>603</v>
      </c>
      <c r="C31" s="4" t="s">
        <v>604</v>
      </c>
      <c r="D31" s="4" t="s">
        <v>605</v>
      </c>
      <c r="E31" s="4" t="s">
        <v>606</v>
      </c>
    </row>
    <row r="32" spans="1:5" x14ac:dyDescent="0.3">
      <c r="A32" s="4" t="s">
        <v>607</v>
      </c>
      <c r="B32" s="4" t="s">
        <v>608</v>
      </c>
      <c r="C32" s="4" t="s">
        <v>609</v>
      </c>
      <c r="D32" s="4" t="s">
        <v>610</v>
      </c>
      <c r="E32" s="4" t="s">
        <v>611</v>
      </c>
    </row>
    <row r="33" spans="1:5" x14ac:dyDescent="0.3">
      <c r="A33" s="4" t="s">
        <v>612</v>
      </c>
      <c r="B33" s="4" t="s">
        <v>613</v>
      </c>
      <c r="C33" s="4" t="s">
        <v>186</v>
      </c>
      <c r="D33" s="4" t="s">
        <v>192</v>
      </c>
      <c r="E33" s="4" t="s">
        <v>614</v>
      </c>
    </row>
    <row r="35" spans="1:5" x14ac:dyDescent="0.3">
      <c r="A35" s="80" t="s">
        <v>615</v>
      </c>
      <c r="B35" s="80"/>
      <c r="C35" s="80"/>
      <c r="D35" s="80"/>
      <c r="E35" s="80"/>
    </row>
    <row r="36" spans="1:5" ht="17.55" customHeight="1" x14ac:dyDescent="0.3">
      <c r="A36" s="3" t="s">
        <v>616</v>
      </c>
      <c r="B36" s="3" t="s">
        <v>617</v>
      </c>
    </row>
    <row r="37" spans="1:5" ht="86.4" x14ac:dyDescent="0.3">
      <c r="A37" s="4" t="s">
        <v>618</v>
      </c>
      <c r="B37" s="4" t="s">
        <v>619</v>
      </c>
    </row>
    <row r="38" spans="1:5" ht="43.2" x14ac:dyDescent="0.3">
      <c r="A38" s="4" t="s">
        <v>620</v>
      </c>
      <c r="B38" s="4" t="s">
        <v>621</v>
      </c>
    </row>
  </sheetData>
  <mergeCells count="6">
    <mergeCell ref="A35:E35"/>
    <mergeCell ref="A2:E2"/>
    <mergeCell ref="A4:E4"/>
    <mergeCell ref="A10:E10"/>
    <mergeCell ref="A23:E23"/>
    <mergeCell ref="A29:E29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3"/>
  <sheetViews>
    <sheetView workbookViewId="0">
      <selection activeCell="D34" sqref="D34"/>
    </sheetView>
  </sheetViews>
  <sheetFormatPr defaultRowHeight="14.4" x14ac:dyDescent="0.3"/>
  <cols>
    <col min="1" max="1" width="34" customWidth="1"/>
    <col min="2" max="2" width="41.21875" customWidth="1"/>
    <col min="3" max="3" width="34" customWidth="1"/>
    <col min="4" max="4" width="62.21875" customWidth="1"/>
    <col min="5" max="5" width="70" customWidth="1"/>
    <col min="6" max="6" width="44" customWidth="1"/>
  </cols>
  <sheetData>
    <row r="1" spans="1:6" ht="21" x14ac:dyDescent="0.4">
      <c r="A1" s="1" t="s">
        <v>622</v>
      </c>
    </row>
    <row r="2" spans="1:6" x14ac:dyDescent="0.3">
      <c r="A2" s="79" t="s">
        <v>623</v>
      </c>
      <c r="B2" s="79"/>
      <c r="C2" s="79"/>
      <c r="D2" s="79"/>
      <c r="E2" s="79"/>
      <c r="F2" s="79"/>
    </row>
    <row r="4" spans="1:6" x14ac:dyDescent="0.3">
      <c r="A4" s="80" t="s">
        <v>624</v>
      </c>
      <c r="B4" s="80"/>
      <c r="C4" s="80"/>
      <c r="D4" s="80"/>
      <c r="E4" s="80"/>
      <c r="F4" s="80"/>
    </row>
    <row r="5" spans="1:6" x14ac:dyDescent="0.3">
      <c r="A5" s="3" t="s">
        <v>625</v>
      </c>
      <c r="B5" s="3" t="s">
        <v>626</v>
      </c>
      <c r="C5" s="3" t="s">
        <v>627</v>
      </c>
      <c r="D5" s="3" t="s">
        <v>628</v>
      </c>
      <c r="E5" s="3" t="s">
        <v>629</v>
      </c>
      <c r="F5" s="3" t="s">
        <v>630</v>
      </c>
    </row>
    <row r="6" spans="1:6" x14ac:dyDescent="0.3">
      <c r="A6" s="4" t="s">
        <v>43</v>
      </c>
      <c r="B6" s="4" t="s">
        <v>348</v>
      </c>
      <c r="C6" s="4" t="s">
        <v>48</v>
      </c>
      <c r="D6" s="4" t="s">
        <v>631</v>
      </c>
      <c r="E6" s="4" t="s">
        <v>632</v>
      </c>
      <c r="F6" s="4" t="s">
        <v>633</v>
      </c>
    </row>
    <row r="7" spans="1:6" ht="28.8" x14ac:dyDescent="0.3">
      <c r="A7" s="4" t="s">
        <v>48</v>
      </c>
      <c r="B7" s="4" t="s">
        <v>348</v>
      </c>
      <c r="C7" s="4" t="s">
        <v>52</v>
      </c>
      <c r="D7" s="4" t="s">
        <v>634</v>
      </c>
      <c r="E7" s="4" t="s">
        <v>635</v>
      </c>
      <c r="F7" s="4" t="s">
        <v>636</v>
      </c>
    </row>
    <row r="8" spans="1:6" x14ac:dyDescent="0.3">
      <c r="A8" s="4" t="s">
        <v>43</v>
      </c>
      <c r="B8" s="4" t="s">
        <v>348</v>
      </c>
      <c r="C8" s="4" t="s">
        <v>55</v>
      </c>
      <c r="D8" s="4" t="s">
        <v>631</v>
      </c>
      <c r="E8" s="4" t="s">
        <v>637</v>
      </c>
      <c r="F8" s="4" t="s">
        <v>638</v>
      </c>
    </row>
    <row r="9" spans="1:6" x14ac:dyDescent="0.3">
      <c r="A9" s="4" t="s">
        <v>55</v>
      </c>
      <c r="B9" s="4" t="s">
        <v>348</v>
      </c>
      <c r="C9" s="4" t="s">
        <v>57</v>
      </c>
      <c r="D9" s="4" t="s">
        <v>357</v>
      </c>
      <c r="E9" s="4" t="s">
        <v>639</v>
      </c>
      <c r="F9" s="4" t="s">
        <v>640</v>
      </c>
    </row>
    <row r="10" spans="1:6" x14ac:dyDescent="0.3">
      <c r="A10" s="4" t="s">
        <v>55</v>
      </c>
      <c r="B10" s="4" t="s">
        <v>348</v>
      </c>
      <c r="C10" s="4" t="s">
        <v>61</v>
      </c>
      <c r="D10" s="4" t="s">
        <v>357</v>
      </c>
      <c r="E10" s="4" t="s">
        <v>641</v>
      </c>
      <c r="F10" s="4" t="s">
        <v>642</v>
      </c>
    </row>
    <row r="11" spans="1:6" x14ac:dyDescent="0.3">
      <c r="A11" s="4" t="s">
        <v>55</v>
      </c>
      <c r="B11" s="4" t="s">
        <v>348</v>
      </c>
      <c r="C11" s="4" t="s">
        <v>67</v>
      </c>
      <c r="D11" s="4" t="s">
        <v>357</v>
      </c>
      <c r="E11" s="4" t="s">
        <v>643</v>
      </c>
      <c r="F11" s="4" t="s">
        <v>644</v>
      </c>
    </row>
    <row r="12" spans="1:6" x14ac:dyDescent="0.3">
      <c r="A12" s="4" t="s">
        <v>55</v>
      </c>
      <c r="B12" s="4" t="s">
        <v>348</v>
      </c>
      <c r="C12" s="4" t="s">
        <v>68</v>
      </c>
      <c r="D12" s="4" t="s">
        <v>357</v>
      </c>
      <c r="E12" s="4" t="s">
        <v>645</v>
      </c>
      <c r="F12" s="4" t="s">
        <v>646</v>
      </c>
    </row>
    <row r="13" spans="1:6" x14ac:dyDescent="0.3">
      <c r="A13" s="4" t="s">
        <v>55</v>
      </c>
      <c r="B13" s="4" t="s">
        <v>348</v>
      </c>
      <c r="C13" s="4" t="s">
        <v>70</v>
      </c>
      <c r="D13" s="4" t="s">
        <v>357</v>
      </c>
      <c r="E13" s="4" t="s">
        <v>647</v>
      </c>
      <c r="F13" s="4" t="s">
        <v>648</v>
      </c>
    </row>
    <row r="14" spans="1:6" x14ac:dyDescent="0.3">
      <c r="A14" s="4" t="s">
        <v>55</v>
      </c>
      <c r="B14" s="4" t="s">
        <v>348</v>
      </c>
      <c r="C14" s="4" t="s">
        <v>65</v>
      </c>
      <c r="D14" s="4" t="s">
        <v>357</v>
      </c>
      <c r="E14" s="4" t="s">
        <v>649</v>
      </c>
      <c r="F14" s="4" t="s">
        <v>636</v>
      </c>
    </row>
    <row r="15" spans="1:6" x14ac:dyDescent="0.3">
      <c r="A15" s="4" t="s">
        <v>55</v>
      </c>
      <c r="B15" s="4" t="s">
        <v>348</v>
      </c>
      <c r="C15" s="4" t="s">
        <v>71</v>
      </c>
      <c r="D15" s="4" t="s">
        <v>357</v>
      </c>
      <c r="E15" s="4" t="s">
        <v>650</v>
      </c>
      <c r="F15" s="4" t="s">
        <v>651</v>
      </c>
    </row>
    <row r="16" spans="1:6" x14ac:dyDescent="0.3">
      <c r="A16" s="4" t="s">
        <v>43</v>
      </c>
      <c r="B16" s="4" t="s">
        <v>348</v>
      </c>
      <c r="C16" s="4" t="s">
        <v>71</v>
      </c>
      <c r="D16" s="4" t="s">
        <v>631</v>
      </c>
      <c r="E16" s="4" t="s">
        <v>652</v>
      </c>
      <c r="F16" s="4" t="s">
        <v>653</v>
      </c>
    </row>
    <row r="17" spans="1:6" x14ac:dyDescent="0.3">
      <c r="A17" s="4" t="s">
        <v>71</v>
      </c>
      <c r="B17" s="4" t="s">
        <v>348</v>
      </c>
      <c r="C17" s="4" t="s">
        <v>76</v>
      </c>
      <c r="D17" s="4" t="s">
        <v>369</v>
      </c>
      <c r="E17" s="4" t="s">
        <v>654</v>
      </c>
      <c r="F17" s="4" t="s">
        <v>655</v>
      </c>
    </row>
    <row r="18" spans="1:6" x14ac:dyDescent="0.3">
      <c r="A18" s="4" t="s">
        <v>71</v>
      </c>
      <c r="B18" s="4" t="s">
        <v>348</v>
      </c>
      <c r="C18" s="4" t="s">
        <v>80</v>
      </c>
      <c r="D18" s="4" t="s">
        <v>369</v>
      </c>
      <c r="E18" s="4" t="s">
        <v>656</v>
      </c>
      <c r="F18" s="4" t="s">
        <v>657</v>
      </c>
    </row>
    <row r="19" spans="1:6" x14ac:dyDescent="0.3">
      <c r="A19" s="4" t="s">
        <v>71</v>
      </c>
      <c r="B19" s="4" t="s">
        <v>348</v>
      </c>
      <c r="C19" s="4" t="s">
        <v>81</v>
      </c>
      <c r="D19" s="4" t="s">
        <v>369</v>
      </c>
      <c r="E19" s="4" t="s">
        <v>658</v>
      </c>
      <c r="F19" s="4" t="s">
        <v>659</v>
      </c>
    </row>
    <row r="20" spans="1:6" x14ac:dyDescent="0.3">
      <c r="A20" s="4" t="s">
        <v>71</v>
      </c>
      <c r="B20" s="4" t="s">
        <v>348</v>
      </c>
      <c r="C20" s="4" t="s">
        <v>85</v>
      </c>
      <c r="D20" s="4" t="s">
        <v>369</v>
      </c>
      <c r="E20" s="4" t="s">
        <v>660</v>
      </c>
      <c r="F20" s="4" t="s">
        <v>661</v>
      </c>
    </row>
    <row r="21" spans="1:6" x14ac:dyDescent="0.3">
      <c r="A21" s="4" t="s">
        <v>71</v>
      </c>
      <c r="B21" s="4" t="s">
        <v>348</v>
      </c>
      <c r="C21" s="4" t="s">
        <v>86</v>
      </c>
      <c r="D21" s="4" t="s">
        <v>369</v>
      </c>
      <c r="E21" s="4" t="s">
        <v>662</v>
      </c>
      <c r="F21" s="4" t="s">
        <v>663</v>
      </c>
    </row>
    <row r="22" spans="1:6" x14ac:dyDescent="0.3">
      <c r="A22" s="4" t="s">
        <v>71</v>
      </c>
      <c r="B22" s="4" t="s">
        <v>348</v>
      </c>
      <c r="C22" s="4" t="s">
        <v>89</v>
      </c>
      <c r="D22" s="4" t="s">
        <v>369</v>
      </c>
      <c r="E22" s="4" t="s">
        <v>664</v>
      </c>
      <c r="F22" s="4" t="s">
        <v>665</v>
      </c>
    </row>
    <row r="23" spans="1:6" x14ac:dyDescent="0.3">
      <c r="A23" s="4" t="s">
        <v>89</v>
      </c>
      <c r="B23" s="4" t="s">
        <v>348</v>
      </c>
      <c r="C23" s="4" t="s">
        <v>91</v>
      </c>
      <c r="D23" s="4" t="s">
        <v>666</v>
      </c>
      <c r="E23" s="4" t="s">
        <v>667</v>
      </c>
      <c r="F23" s="4" t="s">
        <v>668</v>
      </c>
    </row>
    <row r="24" spans="1:6" x14ac:dyDescent="0.3">
      <c r="A24" s="4" t="s">
        <v>71</v>
      </c>
      <c r="B24" s="4" t="s">
        <v>348</v>
      </c>
      <c r="C24" s="4" t="s">
        <v>71</v>
      </c>
      <c r="D24" s="4" t="s">
        <v>669</v>
      </c>
      <c r="E24" s="4" t="s">
        <v>670</v>
      </c>
      <c r="F24" s="4" t="s">
        <v>671</v>
      </c>
    </row>
    <row r="25" spans="1:6" x14ac:dyDescent="0.3">
      <c r="A25" s="4" t="s">
        <v>55</v>
      </c>
      <c r="B25" s="4" t="s">
        <v>348</v>
      </c>
      <c r="C25" s="4" t="s">
        <v>96</v>
      </c>
      <c r="D25" s="4" t="s">
        <v>357</v>
      </c>
      <c r="E25" s="4" t="s">
        <v>672</v>
      </c>
      <c r="F25" s="4" t="s">
        <v>673</v>
      </c>
    </row>
    <row r="26" spans="1:6" x14ac:dyDescent="0.3">
      <c r="A26" s="4" t="s">
        <v>71</v>
      </c>
      <c r="B26" s="4" t="s">
        <v>348</v>
      </c>
      <c r="C26" s="4" t="s">
        <v>96</v>
      </c>
      <c r="D26" s="4" t="s">
        <v>1170</v>
      </c>
      <c r="E26" s="4" t="s">
        <v>1181</v>
      </c>
      <c r="F26" s="4" t="s">
        <v>1182</v>
      </c>
    </row>
    <row r="27" spans="1:6" x14ac:dyDescent="0.3">
      <c r="A27" s="4" t="s">
        <v>674</v>
      </c>
      <c r="B27" s="4" t="s">
        <v>322</v>
      </c>
      <c r="C27" s="4" t="s">
        <v>93</v>
      </c>
      <c r="D27" s="4" t="s">
        <v>675</v>
      </c>
      <c r="E27" s="4" t="s">
        <v>676</v>
      </c>
      <c r="F27" s="4" t="s">
        <v>677</v>
      </c>
    </row>
    <row r="28" spans="1:6" x14ac:dyDescent="0.3">
      <c r="A28" s="80" t="s">
        <v>678</v>
      </c>
      <c r="B28" s="80"/>
      <c r="C28" s="80"/>
      <c r="D28" s="80"/>
      <c r="E28" s="80"/>
      <c r="F28" s="80"/>
    </row>
    <row r="29" spans="1:6" x14ac:dyDescent="0.3">
      <c r="A29" s="3" t="s">
        <v>346</v>
      </c>
      <c r="B29" s="3" t="s">
        <v>679</v>
      </c>
      <c r="C29" s="3" t="s">
        <v>101</v>
      </c>
      <c r="D29" s="3" t="s">
        <v>42</v>
      </c>
    </row>
    <row r="30" spans="1:6" x14ac:dyDescent="0.3">
      <c r="A30" s="4" t="s">
        <v>680</v>
      </c>
      <c r="B30" s="4" t="s">
        <v>681</v>
      </c>
      <c r="C30" s="4" t="s">
        <v>682</v>
      </c>
      <c r="D30" s="4" t="s">
        <v>683</v>
      </c>
    </row>
    <row r="31" spans="1:6" x14ac:dyDescent="0.3">
      <c r="A31" s="4" t="s">
        <v>684</v>
      </c>
      <c r="B31" s="4" t="s">
        <v>548</v>
      </c>
      <c r="C31" s="4" t="s">
        <v>682</v>
      </c>
      <c r="D31" s="4" t="s">
        <v>685</v>
      </c>
    </row>
    <row r="32" spans="1:6" x14ac:dyDescent="0.3">
      <c r="A32" s="4" t="s">
        <v>686</v>
      </c>
      <c r="B32" s="4" t="s">
        <v>687</v>
      </c>
      <c r="C32" s="4" t="s">
        <v>682</v>
      </c>
      <c r="D32" s="4" t="s">
        <v>688</v>
      </c>
    </row>
    <row r="33" spans="1:4" x14ac:dyDescent="0.3">
      <c r="A33" s="4" t="s">
        <v>689</v>
      </c>
      <c r="B33" s="4" t="s">
        <v>690</v>
      </c>
      <c r="C33" s="4" t="s">
        <v>682</v>
      </c>
      <c r="D33" s="4" t="s">
        <v>691</v>
      </c>
    </row>
    <row r="34" spans="1:4" x14ac:dyDescent="0.3">
      <c r="A34" s="4" t="s">
        <v>692</v>
      </c>
      <c r="B34" s="4" t="s">
        <v>693</v>
      </c>
      <c r="C34" s="4" t="s">
        <v>682</v>
      </c>
      <c r="D34" s="4" t="s">
        <v>694</v>
      </c>
    </row>
    <row r="35" spans="1:4" x14ac:dyDescent="0.3">
      <c r="A35" s="4" t="s">
        <v>695</v>
      </c>
      <c r="B35" s="4" t="s">
        <v>696</v>
      </c>
      <c r="C35" s="4" t="s">
        <v>697</v>
      </c>
      <c r="D35" s="4" t="s">
        <v>698</v>
      </c>
    </row>
    <row r="36" spans="1:4" ht="28.8" x14ac:dyDescent="0.3">
      <c r="A36" s="4" t="s">
        <v>699</v>
      </c>
      <c r="B36" s="4" t="s">
        <v>700</v>
      </c>
      <c r="C36" s="4" t="s">
        <v>701</v>
      </c>
      <c r="D36" s="4" t="s">
        <v>702</v>
      </c>
    </row>
    <row r="37" spans="1:4" ht="28.8" x14ac:dyDescent="0.3">
      <c r="A37" s="4" t="s">
        <v>703</v>
      </c>
      <c r="B37" s="4" t="s">
        <v>704</v>
      </c>
      <c r="C37" s="4" t="s">
        <v>701</v>
      </c>
      <c r="D37" s="4" t="s">
        <v>705</v>
      </c>
    </row>
    <row r="38" spans="1:4" x14ac:dyDescent="0.3">
      <c r="A38" s="4" t="s">
        <v>706</v>
      </c>
      <c r="B38" s="4" t="s">
        <v>707</v>
      </c>
      <c r="C38" s="4" t="s">
        <v>708</v>
      </c>
      <c r="D38" s="4" t="s">
        <v>709</v>
      </c>
    </row>
    <row r="39" spans="1:4" ht="28.8" x14ac:dyDescent="0.3">
      <c r="A39" s="4" t="s">
        <v>710</v>
      </c>
      <c r="B39" s="4" t="s">
        <v>711</v>
      </c>
      <c r="C39" s="4" t="s">
        <v>708</v>
      </c>
      <c r="D39" s="4" t="s">
        <v>712</v>
      </c>
    </row>
    <row r="40" spans="1:4" x14ac:dyDescent="0.3">
      <c r="A40" s="4" t="s">
        <v>713</v>
      </c>
      <c r="B40" s="4" t="s">
        <v>714</v>
      </c>
      <c r="C40" s="4" t="s">
        <v>708</v>
      </c>
      <c r="D40" s="4" t="s">
        <v>715</v>
      </c>
    </row>
    <row r="41" spans="1:4" x14ac:dyDescent="0.3">
      <c r="A41" s="4" t="s">
        <v>716</v>
      </c>
      <c r="B41" s="4" t="s">
        <v>717</v>
      </c>
      <c r="C41" s="4" t="s">
        <v>708</v>
      </c>
      <c r="D41" s="4" t="s">
        <v>718</v>
      </c>
    </row>
    <row r="42" spans="1:4" x14ac:dyDescent="0.3">
      <c r="A42" s="4" t="s">
        <v>719</v>
      </c>
      <c r="B42" s="4" t="s">
        <v>720</v>
      </c>
      <c r="C42" s="4" t="s">
        <v>708</v>
      </c>
      <c r="D42" s="4" t="s">
        <v>721</v>
      </c>
    </row>
    <row r="43" spans="1:4" x14ac:dyDescent="0.3">
      <c r="A43" s="4" t="s">
        <v>722</v>
      </c>
      <c r="B43" s="4" t="s">
        <v>723</v>
      </c>
      <c r="C43" s="4" t="s">
        <v>724</v>
      </c>
      <c r="D43" s="4" t="s">
        <v>725</v>
      </c>
    </row>
  </sheetData>
  <mergeCells count="3">
    <mergeCell ref="A2:F2"/>
    <mergeCell ref="A4:F4"/>
    <mergeCell ref="A28:F28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54CF-50C5-438B-B6E2-06DA440461C3}">
  <dimension ref="A1:AH137"/>
  <sheetViews>
    <sheetView showGridLines="0" tabSelected="1" zoomScale="85" zoomScaleNormal="85" workbookViewId="0">
      <selection activeCell="J4" sqref="J4"/>
    </sheetView>
  </sheetViews>
  <sheetFormatPr defaultRowHeight="14.4" x14ac:dyDescent="0.3"/>
  <cols>
    <col min="1" max="1" width="2.21875" style="17" customWidth="1"/>
    <col min="2" max="2" width="9.21875" style="17" customWidth="1"/>
    <col min="3" max="3" width="41.33203125" style="17" bestFit="1" customWidth="1"/>
    <col min="4" max="4" width="19.109375" style="17" customWidth="1"/>
    <col min="5" max="5" width="23" style="17" customWidth="1"/>
    <col min="6" max="6" width="23.77734375" style="17" customWidth="1"/>
    <col min="7" max="7" width="9.21875" style="17" customWidth="1"/>
    <col min="8" max="8" width="31.44140625" style="17" customWidth="1"/>
    <col min="9" max="9" width="18.5546875" style="17" customWidth="1"/>
    <col min="10" max="10" width="11.88671875" style="17" customWidth="1"/>
    <col min="11" max="11" width="17.5546875" style="17" customWidth="1"/>
    <col min="12" max="12" width="9.21875" style="17" customWidth="1"/>
    <col min="13" max="13" width="31.44140625" style="17" customWidth="1"/>
    <col min="14" max="14" width="18.5546875" style="17" customWidth="1"/>
    <col min="15" max="15" width="11.88671875" style="17" customWidth="1"/>
    <col min="16" max="16" width="17.5546875" style="17" customWidth="1"/>
    <col min="17" max="17" width="9.21875" style="17" customWidth="1"/>
    <col min="18" max="18" width="31.44140625" style="17" customWidth="1"/>
    <col min="19" max="19" width="18.5546875" style="17" customWidth="1"/>
    <col min="20" max="20" width="11.88671875" style="17" customWidth="1"/>
    <col min="21" max="21" width="17.5546875" style="17" customWidth="1"/>
    <col min="22" max="22" width="9.21875" style="17" customWidth="1"/>
    <col min="23" max="23" width="31.44140625" style="17" customWidth="1"/>
    <col min="24" max="24" width="18.5546875" style="17" customWidth="1"/>
    <col min="25" max="25" width="11.88671875" style="17" customWidth="1"/>
    <col min="26" max="26" width="5.5546875" style="17" customWidth="1"/>
    <col min="27" max="27" width="48.5546875" style="17" bestFit="1" customWidth="1"/>
    <col min="28" max="28" width="22.109375" style="17" bestFit="1" customWidth="1"/>
    <col min="29" max="29" width="25.77734375" style="17" bestFit="1" customWidth="1"/>
    <col min="30" max="30" width="66.109375" style="17" bestFit="1" customWidth="1"/>
    <col min="31" max="31" width="40" style="17" bestFit="1" customWidth="1"/>
    <col min="32" max="32" width="10.21875" style="17" customWidth="1"/>
    <col min="33" max="33" width="64.5546875" style="17" bestFit="1" customWidth="1"/>
    <col min="34" max="34" width="8.88671875" style="17"/>
  </cols>
  <sheetData>
    <row r="1" spans="2:33" ht="20.399999999999999" x14ac:dyDescent="0.45">
      <c r="B1" s="18" t="s">
        <v>1173</v>
      </c>
    </row>
    <row r="3" spans="2:33" x14ac:dyDescent="0.3">
      <c r="B3" s="24" t="s">
        <v>1174</v>
      </c>
      <c r="C3" s="19" t="s">
        <v>1175</v>
      </c>
      <c r="D3" s="20" t="s">
        <v>1176</v>
      </c>
      <c r="E3" s="21" t="s">
        <v>1179</v>
      </c>
      <c r="F3" s="23" t="s">
        <v>1177</v>
      </c>
    </row>
    <row r="4" spans="2:33" ht="22.05" customHeight="1" x14ac:dyDescent="0.3"/>
    <row r="5" spans="2:33" ht="15.6" thickBot="1" x14ac:dyDescent="0.4">
      <c r="AA5" s="77" t="s">
        <v>1180</v>
      </c>
      <c r="AB5" s="77"/>
      <c r="AC5" s="77"/>
      <c r="AD5" s="77"/>
      <c r="AE5" s="77"/>
      <c r="AF5" s="78" t="s">
        <v>1183</v>
      </c>
      <c r="AG5" s="78"/>
    </row>
    <row r="6" spans="2:33" x14ac:dyDescent="0.3">
      <c r="B6" s="70" t="str">
        <f>DefCollateralAnnexProductScope!A1</f>
        <v>DefCollateralAnnexProductScope</v>
      </c>
      <c r="C6" s="71"/>
      <c r="D6" s="71"/>
      <c r="E6" s="72"/>
      <c r="G6" s="70" t="str">
        <f>DefCollateralAnnex!A1</f>
        <v>DefCollateralAnnex</v>
      </c>
      <c r="H6" s="71"/>
      <c r="I6" s="71"/>
      <c r="J6" s="72"/>
      <c r="Q6" s="66" t="str">
        <f>TxnCollateralCash!A1</f>
        <v>TxnCollateralCash</v>
      </c>
      <c r="R6" s="68"/>
      <c r="S6" s="68"/>
      <c r="T6" s="69"/>
      <c r="V6" s="74" t="str">
        <f>CollateralAuditLog!A1</f>
        <v>CollateralAuditLog</v>
      </c>
      <c r="W6" s="75"/>
      <c r="X6" s="75"/>
      <c r="Y6" s="76"/>
      <c r="AA6" s="39" t="str" cm="1">
        <f t="array" ref="AA6:AE44">_xlfn.LET(_xlpm.d,'00_Iliskiler'!$A$5:$F$60,_xlpm.k,INDEX(_xlpm.d,,1),_xlpm.e,MATCH(TRUE,_xlpm.k="",0)-1,_xlfn.TAKE(_xlfn.CHOOSECOLS(_xlpm.d,1,2,3,4,6),_xlpm.e))</f>
        <v>Parent Tablo</v>
      </c>
      <c r="AB6" s="39" t="str">
        <v>Parent PK</v>
      </c>
      <c r="AC6" s="40" t="str">
        <v>Child Tablo</v>
      </c>
      <c r="AD6" s="40" t="str">
        <v>Child FK Kolonu</v>
      </c>
      <c r="AE6" s="22" t="str">
        <v>Kardinalite / not</v>
      </c>
      <c r="AF6" s="45" t="s">
        <v>1184</v>
      </c>
      <c r="AG6" s="45" t="s">
        <v>1185</v>
      </c>
    </row>
    <row r="7" spans="2:33" ht="15" thickBot="1" x14ac:dyDescent="0.35">
      <c r="B7" s="25" t="s">
        <v>1178</v>
      </c>
      <c r="C7" s="51" t="str">
        <f>"Kolon / FK hedefi ("&amp;ROWS(_xlfn.ANCHORARRAY(B8))&amp;")"</f>
        <v>Kolon / FK hedefi (6)</v>
      </c>
      <c r="D7" s="26" t="s">
        <v>113</v>
      </c>
      <c r="E7" s="27" t="s">
        <v>730</v>
      </c>
      <c r="G7" s="25" t="s">
        <v>1178</v>
      </c>
      <c r="H7" s="51" t="str">
        <f>"Kolon / FK hedefi ("&amp;ROWS(_xlfn.ANCHORARRAY(G8))&amp;")"</f>
        <v>Kolon / FK hedefi (19)</v>
      </c>
      <c r="I7" s="26" t="s">
        <v>113</v>
      </c>
      <c r="J7" s="27" t="s">
        <v>730</v>
      </c>
      <c r="M7" s="54"/>
      <c r="Q7" s="33" t="s">
        <v>1178</v>
      </c>
      <c r="R7" s="58" t="str">
        <f>"Kolon / FK hedefi ("&amp;ROWS(_xlfn.ANCHORARRAY(Q8))&amp;")"</f>
        <v>Kolon / FK hedefi (10)</v>
      </c>
      <c r="S7" s="34" t="s">
        <v>113</v>
      </c>
      <c r="T7" s="35" t="s">
        <v>730</v>
      </c>
      <c r="V7" s="36" t="s">
        <v>1178</v>
      </c>
      <c r="W7" s="59" t="str">
        <f>"Kolon / FK hedefi ("&amp;ROWS(_xlfn.ANCHORARRAY(V8))&amp;")"</f>
        <v>Kolon / FK hedefi (11)</v>
      </c>
      <c r="X7" s="37" t="s">
        <v>113</v>
      </c>
      <c r="Y7" s="38" t="s">
        <v>730</v>
      </c>
      <c r="AA7" s="41" t="str">
        <v>DefCollateralAnnex</v>
      </c>
      <c r="AB7" s="41" t="str">
        <v>Id</v>
      </c>
      <c r="AC7" s="42" t="str">
        <v>DefCollateralAnnexProductScope</v>
      </c>
      <c r="AD7" s="42" t="str">
        <v>AnnexId</v>
      </c>
      <c r="AE7" s="43" t="str">
        <v>1:N · ON DELETE NO ACTION</v>
      </c>
      <c r="AF7" s="46" t="s">
        <v>1186</v>
      </c>
      <c r="AG7" s="47" t="str">
        <f>IF($AF7="POLY",$AC7&amp;".["&amp;$AD7&amp;"] → polymorphic (fiziksel FK yok)",$AC7&amp;"."&amp;$AD7&amp;" → "&amp;$AA7&amp;"."&amp;$AB7)</f>
        <v>DefCollateralAnnexProductScope.AnnexId → DefCollateralAnnex.Id</v>
      </c>
    </row>
    <row r="8" spans="2:33" x14ac:dyDescent="0.3">
      <c r="B8" s="48" t="str" cm="1">
        <f t="array" ref="B8:E13">_xlfn.LET(_xlpm.d,DefCollateralAnnexProductScope!$A$7:$F$79,_xlpm.n,INDEX(_xlpm.d,,1),_xlpm.t,INDEX(_xlpm.d,,2),_xlpm.nl,INDEX(_xlpm.d,,3),_xlpm.c,INDEX(_xlpm.d,,5),_xlpm.f,INDEX(_xlpm.d,,6),_xlpm.pk,ISNUMBER(SEARCH("PK_",_xlpm.c))+ISNUMBER(SEARCH("(PK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C8" s="52" t="str">
        <v>Id</v>
      </c>
      <c r="D8" s="17" t="str">
        <v>bigint</v>
      </c>
      <c r="E8" s="29" t="str">
        <v>NOT NULL</v>
      </c>
      <c r="G8" s="48" t="str" cm="1">
        <f t="array" ref="G8:J26">_xlfn.LET(_xlpm.d,DefCollateralAnnex!$A$7:$F$80,_xlpm.n,INDEX(_xlpm.d,,1),_xlpm.t,INDEX(_xlpm.d,,2),_xlpm.nl,INDEX(_xlpm.d,,3),_xlpm.c,INDEX(_xlpm.d,,5),_xlpm.f,INDEX(_xlpm.d,,6),_xlpm.pk,ISNUMBER(SEARCH("PK_",_xlpm.c))+ISNUMBER(SEARCH("(PK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H8" s="52" t="str">
        <v>Id</v>
      </c>
      <c r="I8" s="17" t="str">
        <v>bigint</v>
      </c>
      <c r="J8" s="29" t="str">
        <v>NOT NULL</v>
      </c>
      <c r="M8" s="54"/>
      <c r="Q8" s="50" t="str" cm="1">
        <f t="array" ref="Q8:T17">_xlfn.LET(_xlpm.d,TxnCollateralCash!$A$7:$F$80,_xlpm.n,INDEX(_xlpm.d,,1),_xlpm.t,INDEX(_xlpm.d,,2),_xlpm.nl,INDEX(_xlpm.d,,3),_xlpm.c,INDEX(_xlpm.d,,5),_xlpm.f,INDEX(_xlpm.d,,6),_xlpm.pk,ISNUMBER(SEARCH("PK_",_xlpm.c))+ISNUMBER(SEARCH("(PK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R8" s="57" t="str">
        <v>TxnId → TxnCollateral.Id</v>
      </c>
      <c r="S8" s="17" t="str">
        <v>bigint</v>
      </c>
      <c r="T8" s="29" t="str">
        <v>NOT NULL</v>
      </c>
      <c r="V8" s="48" t="str" cm="1">
        <f t="array" ref="V8:Y18">_xlfn.LET(_xlpm.d,CollateralAuditLog!$A$7:$F$80,_xlpm.n,INDEX(_xlpm.d,,1),_xlpm.t,INDEX(_xlpm.d,,2),_xlpm.nl,INDEX(_xlpm.d,,3),_xlpm.c,INDEX(_xlpm.d,,5),_xlpm.f,INDEX(_xlpm.d,,6),_xlpm.pk,ISNUMBER(SEARCH("PK_",_xlpm.c))+ISNUMBER(SEARCH("(PK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W8" s="52" t="str">
        <v>Id</v>
      </c>
      <c r="X8" s="17" t="str">
        <v>bigint</v>
      </c>
      <c r="Y8" s="29" t="str">
        <v>NOT NULL</v>
      </c>
      <c r="AA8" s="41" t="str">
        <v>DefCollateralAnnexProductScope</v>
      </c>
      <c r="AB8" s="41" t="str">
        <v>Id</v>
      </c>
      <c r="AC8" s="42" t="str">
        <v>DefCollateralAnnexMarginRule</v>
      </c>
      <c r="AD8" s="42" t="str">
        <v>ProductScopeId</v>
      </c>
      <c r="AE8" s="43" t="str">
        <v>1:N</v>
      </c>
      <c r="AF8" s="46" t="s">
        <v>1187</v>
      </c>
      <c r="AG8" s="47" t="str">
        <f t="shared" ref="AG8:AG28" si="0">IF($AF8="POLY",$AC8&amp;".["&amp;$AD8&amp;"] → polymorphic (fiziksel FK yok)",$AC8&amp;"."&amp;$AD8&amp;" → "&amp;$AA8&amp;"."&amp;$AB8)</f>
        <v>DefCollateralAnnexMarginRule.ProductScopeId → DefCollateralAnnexProductScope.Id</v>
      </c>
    </row>
    <row r="9" spans="2:33" x14ac:dyDescent="0.3">
      <c r="B9" s="44" t="str">
        <v>FK</v>
      </c>
      <c r="C9" s="53" t="str">
        <v>AnnexId → DefCollateralAnnex.Id</v>
      </c>
      <c r="D9" s="17" t="str">
        <v>bigint</v>
      </c>
      <c r="E9" s="29" t="str">
        <v>NOT NULL</v>
      </c>
      <c r="G9" s="49" t="str">
        <v>UQ1</v>
      </c>
      <c r="H9" s="55" t="str">
        <v>AnnexCode</v>
      </c>
      <c r="I9" s="17" t="str">
        <v>nvarchar(50)</v>
      </c>
      <c r="J9" s="29" t="str">
        <v>NOT NULL</v>
      </c>
      <c r="M9" s="54"/>
      <c r="Q9" s="28" t="str">
        <v/>
      </c>
      <c r="R9" s="54" t="str">
        <v>Amount</v>
      </c>
      <c r="S9" s="17" t="str">
        <v>decimal(38,10)</v>
      </c>
      <c r="T9" s="29" t="str">
        <v>NOT NULL</v>
      </c>
      <c r="V9" s="28" t="str">
        <v/>
      </c>
      <c r="W9" s="54" t="str">
        <v>AggregateType</v>
      </c>
      <c r="X9" s="17" t="str">
        <v>nvarchar(40)</v>
      </c>
      <c r="Y9" s="29" t="str">
        <v>NOT NULL</v>
      </c>
      <c r="AA9" s="41" t="str">
        <v>DefCollateralAnnex</v>
      </c>
      <c r="AB9" s="41" t="str">
        <v>Id</v>
      </c>
      <c r="AC9" s="42" t="str">
        <v>DefCollateral</v>
      </c>
      <c r="AD9" s="42" t="str">
        <v>AnnexId</v>
      </c>
      <c r="AE9" s="43" t="str">
        <v>1:N opsiyonel (nullable — standalone definition)</v>
      </c>
      <c r="AF9" s="46" t="s">
        <v>1188</v>
      </c>
      <c r="AG9" s="47" t="str">
        <f t="shared" si="0"/>
        <v>DefCollateral.AnnexId → DefCollateralAnnex.Id</v>
      </c>
    </row>
    <row r="10" spans="2:33" x14ac:dyDescent="0.3">
      <c r="B10" s="28" t="str">
        <v/>
      </c>
      <c r="C10" s="54" t="str">
        <v>ProductCode</v>
      </c>
      <c r="D10" s="17" t="str">
        <v>nvarchar(50)</v>
      </c>
      <c r="E10" s="29" t="str">
        <v>NOT NULL</v>
      </c>
      <c r="G10" s="28" t="str">
        <v>UQ1</v>
      </c>
      <c r="H10" s="54" t="str">
        <v>RevisionNo</v>
      </c>
      <c r="I10" s="17" t="str">
        <v>int</v>
      </c>
      <c r="J10" s="29" t="str">
        <v>NOT NULL</v>
      </c>
      <c r="M10" s="54"/>
      <c r="Q10" s="28" t="str">
        <v/>
      </c>
      <c r="R10" s="54" t="str">
        <v>CurrencyCode</v>
      </c>
      <c r="S10" s="17" t="str">
        <v>nvarchar(3)</v>
      </c>
      <c r="T10" s="29" t="str">
        <v>NOT NULL</v>
      </c>
      <c r="V10" s="28" t="str">
        <v/>
      </c>
      <c r="W10" s="54" t="str">
        <v>AggregateId</v>
      </c>
      <c r="X10" s="17" t="str">
        <v>bigint</v>
      </c>
      <c r="Y10" s="29" t="str">
        <v>NOT NULL</v>
      </c>
      <c r="AA10" s="41" t="str">
        <v>DefCollateral</v>
      </c>
      <c r="AB10" s="41" t="str">
        <v>Id</v>
      </c>
      <c r="AC10" s="42" t="str">
        <v>DefCollateralEligibleCurrency</v>
      </c>
      <c r="AD10" s="42" t="str">
        <v>DefinitionId</v>
      </c>
      <c r="AE10" s="43" t="str">
        <v>1:N · Cash için en az 1 aktif satır</v>
      </c>
      <c r="AF10" s="46" t="s">
        <v>1189</v>
      </c>
      <c r="AG10" s="47" t="str">
        <f t="shared" si="0"/>
        <v>DefCollateralEligibleCurrency.DefinitionId → DefCollateral.Id</v>
      </c>
    </row>
    <row r="11" spans="2:33" x14ac:dyDescent="0.3">
      <c r="B11" s="28" t="str">
        <v/>
      </c>
      <c r="C11" s="54" t="str">
        <v>SubProductCode</v>
      </c>
      <c r="D11" s="17" t="str">
        <v>nvarchar(50)</v>
      </c>
      <c r="E11" s="29" t="str">
        <v>NOT NULL</v>
      </c>
      <c r="G11" s="28" t="str">
        <v/>
      </c>
      <c r="H11" s="54" t="str">
        <v>AnnexName</v>
      </c>
      <c r="I11" s="17" t="str">
        <v>nvarchar(200)</v>
      </c>
      <c r="J11" s="29" t="str">
        <v>NOT NULL</v>
      </c>
      <c r="M11" s="54"/>
      <c r="Q11" s="28" t="str">
        <v/>
      </c>
      <c r="R11" s="54" t="str">
        <v>CurrentBalanceBefore</v>
      </c>
      <c r="S11" s="17" t="str">
        <v>decimal(38,10)</v>
      </c>
      <c r="T11" s="29" t="str">
        <v>NOT NULL</v>
      </c>
      <c r="V11" s="28" t="str">
        <v/>
      </c>
      <c r="W11" s="54" t="str">
        <v>EventType</v>
      </c>
      <c r="X11" s="17" t="str">
        <v>nvarchar(40)</v>
      </c>
      <c r="Y11" s="29" t="str">
        <v>NOT NULL</v>
      </c>
      <c r="AA11" s="41" t="str">
        <v>DefCollateral</v>
      </c>
      <c r="AB11" s="41" t="str">
        <v>Id</v>
      </c>
      <c r="AC11" s="42" t="str">
        <v>DefCollateralCashTerms</v>
      </c>
      <c r="AD11" s="42" t="str">
        <v>DefinitionId</v>
      </c>
      <c r="AE11" s="43" t="str">
        <v>1:0..1 · yalnız CASH</v>
      </c>
      <c r="AF11" s="46" t="s">
        <v>1190</v>
      </c>
      <c r="AG11" s="47" t="str">
        <f t="shared" si="0"/>
        <v>DefCollateralCashTerms.DefinitionId → DefCollateral.Id</v>
      </c>
    </row>
    <row r="12" spans="2:33" x14ac:dyDescent="0.3">
      <c r="B12" s="28" t="str">
        <v/>
      </c>
      <c r="C12" s="54" t="str">
        <v>MarginType</v>
      </c>
      <c r="D12" s="17" t="str">
        <v>nvarchar(15)</v>
      </c>
      <c r="E12" s="29" t="str">
        <v>NOT NULL</v>
      </c>
      <c r="G12" s="28" t="str">
        <v/>
      </c>
      <c r="H12" s="54" t="str">
        <v>CustomerId</v>
      </c>
      <c r="I12" s="17" t="str">
        <v>int</v>
      </c>
      <c r="J12" s="29" t="str">
        <v>NOT NULL</v>
      </c>
      <c r="M12" s="54"/>
      <c r="Q12" s="28" t="str">
        <v/>
      </c>
      <c r="R12" s="54" t="str">
        <v>ValuationCurrencyCode</v>
      </c>
      <c r="S12" s="17" t="str">
        <v>nvarchar(3)</v>
      </c>
      <c r="T12" s="29" t="str">
        <v>NOT NULL</v>
      </c>
      <c r="V12" s="28" t="str">
        <v/>
      </c>
      <c r="W12" s="54" t="str">
        <v>ActorUser</v>
      </c>
      <c r="X12" s="17" t="str">
        <v>nvarchar(80)</v>
      </c>
      <c r="Y12" s="29" t="str">
        <v>NULL</v>
      </c>
      <c r="AA12" s="41" t="str">
        <v>DefCollateral</v>
      </c>
      <c r="AB12" s="41" t="str">
        <v>Id</v>
      </c>
      <c r="AC12" s="42" t="str">
        <v>DefCollateralSecurityRule</v>
      </c>
      <c r="AD12" s="42" t="str">
        <v>DefinitionId</v>
      </c>
      <c r="AE12" s="43" t="str">
        <v>1:N · Security Scope = Rule</v>
      </c>
      <c r="AF12" s="46" t="s">
        <v>1191</v>
      </c>
      <c r="AG12" s="47" t="str">
        <f t="shared" si="0"/>
        <v>DefCollateralSecurityRule.DefinitionId → DefCollateral.Id</v>
      </c>
    </row>
    <row r="13" spans="2:33" x14ac:dyDescent="0.3">
      <c r="B13" s="28" t="str">
        <v/>
      </c>
      <c r="C13" s="54" t="str">
        <v>IsIncluded</v>
      </c>
      <c r="D13" s="17" t="str">
        <v>bit</v>
      </c>
      <c r="E13" s="29" t="str">
        <v>NOT NULL</v>
      </c>
      <c r="G13" s="28" t="str">
        <v/>
      </c>
      <c r="H13" s="54" t="str">
        <v>IsEnabled</v>
      </c>
      <c r="I13" s="17" t="str">
        <v>bit</v>
      </c>
      <c r="J13" s="29" t="str">
        <v>NOT NULL</v>
      </c>
      <c r="M13" s="54"/>
      <c r="Q13" s="28" t="str">
        <v/>
      </c>
      <c r="R13" s="54" t="str">
        <v>IsFxConversionRequired</v>
      </c>
      <c r="S13" s="17" t="str">
        <v>bit</v>
      </c>
      <c r="T13" s="29" t="str">
        <v>NOT NULL</v>
      </c>
      <c r="V13" s="28" t="str">
        <v/>
      </c>
      <c r="W13" s="54" t="str">
        <v>OccurredDate</v>
      </c>
      <c r="X13" s="17" t="str">
        <v>datetime</v>
      </c>
      <c r="Y13" s="29" t="str">
        <v>NOT NULL</v>
      </c>
      <c r="AA13" s="41" t="str">
        <v>DefCollateral</v>
      </c>
      <c r="AB13" s="41" t="str">
        <v>Id</v>
      </c>
      <c r="AC13" s="42" t="str">
        <v>DefCollateralSecurityISIN</v>
      </c>
      <c r="AD13" s="42" t="str">
        <v>DefinitionId</v>
      </c>
      <c r="AE13" s="43" t="str">
        <v>1:N · Security Scope = Specific ISIN</v>
      </c>
      <c r="AF13" s="46" t="s">
        <v>1192</v>
      </c>
      <c r="AG13" s="47" t="str">
        <f t="shared" si="0"/>
        <v>DefCollateralSecurityISIN.DefinitionId → DefCollateral.Id</v>
      </c>
    </row>
    <row r="14" spans="2:33" x14ac:dyDescent="0.3">
      <c r="B14" s="28"/>
      <c r="C14" s="54"/>
      <c r="E14" s="29"/>
      <c r="G14" s="28" t="str">
        <v/>
      </c>
      <c r="H14" s="54" t="str">
        <v>MasterAgreementText</v>
      </c>
      <c r="I14" s="17" t="str">
        <v>nvarchar(500)</v>
      </c>
      <c r="J14" s="29" t="str">
        <v>NOT NULL</v>
      </c>
      <c r="M14" s="54"/>
      <c r="Q14" s="28" t="str">
        <v/>
      </c>
      <c r="R14" s="54" t="str">
        <v>FxRate</v>
      </c>
      <c r="S14" s="17" t="str">
        <v>decimal(38,10)</v>
      </c>
      <c r="T14" s="29" t="str">
        <v>NOT NULL</v>
      </c>
      <c r="V14" s="28" t="str">
        <v/>
      </c>
      <c r="W14" s="54" t="str">
        <v>BeforeData</v>
      </c>
      <c r="X14" s="17" t="str">
        <v>nvarchar(MAX)</v>
      </c>
      <c r="Y14" s="29" t="str">
        <v>NULL</v>
      </c>
      <c r="AA14" s="41" t="str">
        <v>DefCollateral</v>
      </c>
      <c r="AB14" s="41" t="str">
        <v>Id</v>
      </c>
      <c r="AC14" s="42" t="str">
        <v>DefCollateralSecurityTerms</v>
      </c>
      <c r="AD14" s="42" t="str">
        <v>DefinitionId</v>
      </c>
      <c r="AE14" s="43" t="str">
        <v>1:0..1 · yalnız SECURITY</v>
      </c>
      <c r="AF14" s="46" t="s">
        <v>1193</v>
      </c>
      <c r="AG14" s="47" t="str">
        <f t="shared" si="0"/>
        <v>DefCollateralSecurityTerms.DefinitionId → DefCollateral.Id</v>
      </c>
    </row>
    <row r="15" spans="2:33" x14ac:dyDescent="0.3">
      <c r="B15" s="28"/>
      <c r="C15" s="54"/>
      <c r="E15" s="29"/>
      <c r="G15" s="28" t="str">
        <v/>
      </c>
      <c r="H15" s="54" t="str">
        <v>CollateralDocumentText</v>
      </c>
      <c r="I15" s="17" t="str">
        <v>nvarchar(500)</v>
      </c>
      <c r="J15" s="29" t="str">
        <v>NOT NULL</v>
      </c>
      <c r="M15" s="54"/>
      <c r="Q15" s="28" t="str">
        <v/>
      </c>
      <c r="R15" s="54" t="str">
        <v>FxAdjustmentRate</v>
      </c>
      <c r="S15" s="17" t="str">
        <v>decimal(18,10)</v>
      </c>
      <c r="T15" s="29" t="str">
        <v>NOT NULL</v>
      </c>
      <c r="V15" s="28" t="str">
        <v/>
      </c>
      <c r="W15" s="54" t="str">
        <v>AfterData</v>
      </c>
      <c r="X15" s="17" t="str">
        <v>nvarchar(MAX)</v>
      </c>
      <c r="Y15" s="29" t="str">
        <v>NULL</v>
      </c>
      <c r="AA15" s="41" t="str">
        <v>DefCollateral</v>
      </c>
      <c r="AB15" s="41" t="str">
        <v>Id</v>
      </c>
      <c r="AC15" s="42" t="str">
        <v>DefCollateralSettlementMap</v>
      </c>
      <c r="AD15" s="42" t="str">
        <v>DefinitionId</v>
      </c>
      <c r="AE15" s="43" t="str">
        <v>1:N</v>
      </c>
      <c r="AF15" s="46" t="s">
        <v>1194</v>
      </c>
      <c r="AG15" s="47" t="str">
        <f t="shared" si="0"/>
        <v>DefCollateralSettlementMap.DefinitionId → DefCollateral.Id</v>
      </c>
    </row>
    <row r="16" spans="2:33" x14ac:dyDescent="0.3">
      <c r="B16" s="28"/>
      <c r="C16" s="54"/>
      <c r="E16" s="29"/>
      <c r="G16" s="28" t="str">
        <v/>
      </c>
      <c r="H16" s="54" t="str">
        <v>BaseCurrencyCode</v>
      </c>
      <c r="I16" s="17" t="str">
        <v>nvarchar(3)</v>
      </c>
      <c r="J16" s="29" t="str">
        <v>NOT NULL</v>
      </c>
      <c r="M16" s="54"/>
      <c r="Q16" s="28" t="str">
        <v/>
      </c>
      <c r="R16" s="54" t="str">
        <v>TransactionValue</v>
      </c>
      <c r="S16" s="17" t="str">
        <v>decimal(38,10)</v>
      </c>
      <c r="T16" s="29" t="str">
        <v>NOT NULL</v>
      </c>
      <c r="V16" s="28" t="str">
        <v/>
      </c>
      <c r="W16" s="54" t="str">
        <v>CorrelationId</v>
      </c>
      <c r="X16" s="17" t="str">
        <v>nvarchar(80)</v>
      </c>
      <c r="Y16" s="29" t="str">
        <v>NULL</v>
      </c>
      <c r="AA16" s="41" t="str">
        <v>DefCollateral</v>
      </c>
      <c r="AB16" s="41" t="str">
        <v>Id</v>
      </c>
      <c r="AC16" s="42" t="str">
        <v>TxnCollateral</v>
      </c>
      <c r="AD16" s="42" t="str">
        <v>DefinitionId</v>
      </c>
      <c r="AE16" s="43" t="str">
        <v>1:N · 🔴 işlem varken definition silinemez</v>
      </c>
      <c r="AF16" s="46" t="s">
        <v>1195</v>
      </c>
      <c r="AG16" s="47" t="str">
        <f t="shared" si="0"/>
        <v>TxnCollateral.DefinitionId → DefCollateral.Id</v>
      </c>
    </row>
    <row r="17" spans="2:33" x14ac:dyDescent="0.3">
      <c r="C17" s="54"/>
      <c r="G17" s="28" t="str">
        <v/>
      </c>
      <c r="H17" s="54" t="str">
        <v>Direction</v>
      </c>
      <c r="I17" s="17" t="str">
        <v>nvarchar(20)</v>
      </c>
      <c r="J17" s="29" t="str">
        <v>NOT NULL</v>
      </c>
      <c r="M17" s="54"/>
      <c r="Q17" s="28" t="str">
        <v/>
      </c>
      <c r="R17" s="54" t="str">
        <v>AdjustedEligibleValue</v>
      </c>
      <c r="S17" s="17" t="str">
        <v>decimal(38,10)</v>
      </c>
      <c r="T17" s="29" t="str">
        <v>NOT NULL</v>
      </c>
      <c r="V17" s="28" t="str">
        <v/>
      </c>
      <c r="W17" s="54" t="str">
        <v>SourceIp</v>
      </c>
      <c r="X17" s="17" t="str">
        <v>nvarchar(64)</v>
      </c>
      <c r="Y17" s="29" t="str">
        <v>NULL</v>
      </c>
      <c r="AA17" s="41" t="str">
        <v>DefCollateralAnnex</v>
      </c>
      <c r="AB17" s="41" t="str">
        <v>Id</v>
      </c>
      <c r="AC17" s="42" t="str">
        <v>TxnCollateral</v>
      </c>
      <c r="AD17" s="42" t="str">
        <v>AnnexId</v>
      </c>
      <c r="AE17" s="43" t="str">
        <v>1:N opsiyonel</v>
      </c>
      <c r="AF17" s="46" t="s">
        <v>1196</v>
      </c>
      <c r="AG17" s="47" t="str">
        <f t="shared" si="0"/>
        <v>TxnCollateral.AnnexId → DefCollateralAnnex.Id</v>
      </c>
    </row>
    <row r="18" spans="2:33" ht="15" thickBot="1" x14ac:dyDescent="0.35">
      <c r="C18" s="54"/>
      <c r="G18" s="28" t="str">
        <v/>
      </c>
      <c r="H18" s="54" t="str">
        <v>ValidFrom</v>
      </c>
      <c r="I18" s="17" t="str">
        <v>date</v>
      </c>
      <c r="J18" s="29" t="str">
        <v>NOT NULL</v>
      </c>
      <c r="M18" s="54"/>
      <c r="Q18" s="28"/>
      <c r="R18" s="54"/>
      <c r="T18" s="29"/>
      <c r="V18" s="28" t="str">
        <v/>
      </c>
      <c r="W18" s="54" t="str">
        <v>Channel</v>
      </c>
      <c r="X18" s="17" t="str">
        <v>nvarchar(30)</v>
      </c>
      <c r="Y18" s="29" t="str">
        <v>NULL</v>
      </c>
      <c r="AA18" s="41" t="str">
        <v>TxnCollateral</v>
      </c>
      <c r="AB18" s="41" t="str">
        <v>Id</v>
      </c>
      <c r="AC18" s="42" t="str">
        <v>TxnCollateralCash</v>
      </c>
      <c r="AD18" s="42" t="str">
        <v>TxnId</v>
      </c>
      <c r="AE18" s="43" t="str">
        <v>1:1 alt tip (CASH)</v>
      </c>
      <c r="AF18" s="46" t="s">
        <v>1197</v>
      </c>
      <c r="AG18" s="47" t="str">
        <f t="shared" si="0"/>
        <v>TxnCollateralCash.TxnId → TxnCollateral.Id</v>
      </c>
    </row>
    <row r="19" spans="2:33" x14ac:dyDescent="0.3">
      <c r="B19" s="70" t="str">
        <f>DefCollateralAnnexMarginRule!A1</f>
        <v>DefCollateralAnnexMarginRule</v>
      </c>
      <c r="C19" s="73"/>
      <c r="D19" s="71"/>
      <c r="E19" s="72"/>
      <c r="G19" s="28" t="str">
        <v/>
      </c>
      <c r="H19" s="54" t="str">
        <v>ValidTo</v>
      </c>
      <c r="I19" s="17" t="str">
        <v>date</v>
      </c>
      <c r="J19" s="29" t="str">
        <v>NULL</v>
      </c>
      <c r="M19" s="54"/>
      <c r="Q19" s="28"/>
      <c r="R19" s="54"/>
      <c r="T19" s="29"/>
      <c r="V19" s="28"/>
      <c r="W19" s="54"/>
      <c r="Y19" s="29"/>
      <c r="AA19" s="41" t="str">
        <v>TxnCollateral</v>
      </c>
      <c r="AB19" s="41" t="str">
        <v>Id</v>
      </c>
      <c r="AC19" s="42" t="str">
        <v>TxnCollateralSecurity</v>
      </c>
      <c r="AD19" s="42" t="str">
        <v>TxnId</v>
      </c>
      <c r="AE19" s="43" t="str">
        <v>1:1 alt tip (SECURITY)</v>
      </c>
      <c r="AF19" s="46" t="s">
        <v>1198</v>
      </c>
      <c r="AG19" s="47" t="str">
        <f t="shared" si="0"/>
        <v>TxnCollateralSecurity.TxnId → TxnCollateral.Id</v>
      </c>
    </row>
    <row r="20" spans="2:33" ht="15" thickBot="1" x14ac:dyDescent="0.35">
      <c r="B20" s="25" t="s">
        <v>1178</v>
      </c>
      <c r="C20" s="51" t="str">
        <f>"Kolon / FK hedefi ("&amp;ROWS(_xlfn.ANCHORARRAY(B21))&amp;")"</f>
        <v>Kolon / FK hedefi (8)</v>
      </c>
      <c r="D20" s="26" t="s">
        <v>113</v>
      </c>
      <c r="E20" s="27" t="s">
        <v>730</v>
      </c>
      <c r="G20" s="28" t="str">
        <v/>
      </c>
      <c r="H20" s="54" t="str">
        <v>DisputeToleranceAmount</v>
      </c>
      <c r="I20" s="17" t="str">
        <v>decimal(38,10)</v>
      </c>
      <c r="J20" s="29" t="str">
        <v>NOT NULL</v>
      </c>
      <c r="M20" s="54"/>
      <c r="Q20" s="28"/>
      <c r="R20" s="54"/>
      <c r="T20" s="29"/>
      <c r="V20" s="28"/>
      <c r="W20" s="54"/>
      <c r="Y20" s="29"/>
      <c r="AA20" s="41" t="str">
        <v>TxnCollateral</v>
      </c>
      <c r="AB20" s="41" t="str">
        <v>Id</v>
      </c>
      <c r="AC20" s="42" t="str">
        <v>TxnCollateralValuation</v>
      </c>
      <c r="AD20" s="42" t="str">
        <v>TxnId</v>
      </c>
      <c r="AE20" s="43" t="str">
        <v>1:N · immutable</v>
      </c>
      <c r="AF20" s="46" t="s">
        <v>1199</v>
      </c>
      <c r="AG20" s="47" t="str">
        <f t="shared" si="0"/>
        <v>TxnCollateralValuation.TxnId → TxnCollateral.Id</v>
      </c>
    </row>
    <row r="21" spans="2:33" ht="16.2" customHeight="1" x14ac:dyDescent="0.3">
      <c r="B21" s="48" t="str" cm="1">
        <f t="array" ref="B21:E28">_xlfn.LET(_xlpm.d,DefCollateralAnnexMarginRule!$A$7:$F$79,_xlpm.n,INDEX(_xlpm.d,,1),_xlpm.t,INDEX(_xlpm.d,,2),_xlpm.nl,INDEX(_xlpm.d,,3),_xlpm.c,INDEX(_xlpm.d,,5),_xlpm.f,INDEX(_xlpm.d,,6),_xlpm.pk,ISNUMBER(SEARCH("PK_",_xlpm.c))+ISNUMBER(SEARCH("(PK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C21" s="52" t="str">
        <v>Id</v>
      </c>
      <c r="D21" s="17" t="str">
        <v>bigint</v>
      </c>
      <c r="E21" s="29" t="str">
        <v>NOT NULL</v>
      </c>
      <c r="G21" s="28" t="str">
        <v/>
      </c>
      <c r="H21" s="54" t="str">
        <v>DisputeToleranceCurrencyCode</v>
      </c>
      <c r="I21" s="17" t="str">
        <v>nvarchar(3)</v>
      </c>
      <c r="J21" s="29" t="str">
        <v>NOT NULL</v>
      </c>
      <c r="M21" s="54"/>
      <c r="R21" s="54"/>
      <c r="V21" s="28"/>
      <c r="W21" s="54"/>
      <c r="Y21" s="29"/>
      <c r="AA21" s="41" t="str">
        <v>TxnCollateral</v>
      </c>
      <c r="AB21" s="41" t="str">
        <v>Id</v>
      </c>
      <c r="AC21" s="42" t="str">
        <v>TxnCollateralLimit</v>
      </c>
      <c r="AD21" s="42" t="str">
        <v>TxnId</v>
      </c>
      <c r="AE21" s="43" t="str">
        <v>1:N · ENTRY/VERIFY</v>
      </c>
      <c r="AF21" s="46" t="s">
        <v>1200</v>
      </c>
      <c r="AG21" s="47" t="str">
        <f t="shared" si="0"/>
        <v>TxnCollateralLimit.TxnId → TxnCollateral.Id</v>
      </c>
    </row>
    <row r="22" spans="2:33" ht="17.399999999999999" customHeight="1" thickBot="1" x14ac:dyDescent="0.35">
      <c r="B22" s="44" t="str">
        <v>FK UQ1</v>
      </c>
      <c r="C22" s="53" t="str">
        <v>ProductScopeId → DefCollateralAnnexProductScope.Id</v>
      </c>
      <c r="D22" s="17" t="str">
        <v>bigint</v>
      </c>
      <c r="E22" s="29" t="str">
        <v>NOT NULL</v>
      </c>
      <c r="G22" s="28" t="str">
        <v/>
      </c>
      <c r="H22" s="54" t="str">
        <v>StateId</v>
      </c>
      <c r="I22" s="17" t="str">
        <v>int</v>
      </c>
      <c r="J22" s="29" t="str">
        <v>NOT NULL</v>
      </c>
      <c r="M22" s="54"/>
      <c r="R22" s="54"/>
      <c r="W22" s="54"/>
      <c r="AA22" s="41" t="str">
        <v>TxnCollateral</v>
      </c>
      <c r="AB22" s="41" t="str">
        <v>Id</v>
      </c>
      <c r="AC22" s="42" t="str">
        <v>TxnCollateralPaymentInstruction</v>
      </c>
      <c r="AD22" s="42" t="str">
        <v>TxnId</v>
      </c>
      <c r="AE22" s="43" t="str">
        <v>1:N (sürümlü), aktif sürüm 1 tane</v>
      </c>
      <c r="AF22" s="46" t="s">
        <v>1201</v>
      </c>
      <c r="AG22" s="47" t="str">
        <f t="shared" si="0"/>
        <v>TxnCollateralPaymentInstruction.TxnId → TxnCollateral.Id</v>
      </c>
    </row>
    <row r="23" spans="2:33" x14ac:dyDescent="0.3">
      <c r="B23" s="49" t="str">
        <v>UQ1</v>
      </c>
      <c r="C23" s="55" t="str">
        <v>Party</v>
      </c>
      <c r="D23" s="17" t="str">
        <v>nvarchar(20)</v>
      </c>
      <c r="E23" s="29" t="str">
        <v>NOT NULL</v>
      </c>
      <c r="G23" s="28" t="str">
        <v/>
      </c>
      <c r="H23" s="54" t="str">
        <v>StateMaker</v>
      </c>
      <c r="I23" s="17" t="str">
        <v>nvarchar(80)</v>
      </c>
      <c r="J23" s="29" t="str">
        <v>NOT NULL</v>
      </c>
      <c r="M23" s="54"/>
      <c r="Q23" s="66" t="str">
        <f>TxnCollateralSecurity!A1</f>
        <v>TxnCollateralSecurity</v>
      </c>
      <c r="R23" s="67"/>
      <c r="S23" s="68"/>
      <c r="T23" s="69"/>
      <c r="W23" s="54"/>
      <c r="AA23" s="41" t="str">
        <v>TxnCollateral</v>
      </c>
      <c r="AB23" s="41" t="str">
        <v>Id</v>
      </c>
      <c r="AC23" s="42" t="str">
        <v>TxnCollateralMessage</v>
      </c>
      <c r="AD23" s="42" t="str">
        <v>TxnId</v>
      </c>
      <c r="AE23" s="43" t="str">
        <v>1:N · idempotent</v>
      </c>
      <c r="AF23" s="46" t="s">
        <v>1202</v>
      </c>
      <c r="AG23" s="47" t="str">
        <f t="shared" si="0"/>
        <v>TxnCollateralMessage.TxnId → TxnCollateral.Id</v>
      </c>
    </row>
    <row r="24" spans="2:33" ht="15" thickBot="1" x14ac:dyDescent="0.35">
      <c r="B24" s="49" t="str">
        <v>UQ1</v>
      </c>
      <c r="C24" s="55" t="str">
        <v>CurrencyCode</v>
      </c>
      <c r="D24" s="17" t="str">
        <v>nvarchar(3)</v>
      </c>
      <c r="E24" s="29" t="str">
        <v>NOT NULL</v>
      </c>
      <c r="G24" s="28" t="str">
        <v/>
      </c>
      <c r="H24" s="54" t="str">
        <v>StateDate</v>
      </c>
      <c r="I24" s="17" t="str">
        <v>datetime</v>
      </c>
      <c r="J24" s="29" t="str">
        <v>NOT NULL</v>
      </c>
      <c r="M24" s="54"/>
      <c r="Q24" s="33" t="s">
        <v>1178</v>
      </c>
      <c r="R24" s="58" t="str">
        <f>"Kolon / FK hedefi ("&amp;ROWS(_xlfn.ANCHORARRAY(Q25))&amp;")"</f>
        <v>Kolon / FK hedefi (13)</v>
      </c>
      <c r="S24" s="34" t="s">
        <v>113</v>
      </c>
      <c r="T24" s="35" t="s">
        <v>730</v>
      </c>
      <c r="W24" s="54"/>
      <c r="AA24" s="41" t="str">
        <v>TxnCollateralMessage</v>
      </c>
      <c r="AB24" s="41" t="str">
        <v>Id</v>
      </c>
      <c r="AC24" s="42" t="str">
        <v>TxnCollateralMessageEvent</v>
      </c>
      <c r="AD24" s="42" t="str">
        <v>MessageId</v>
      </c>
      <c r="AE24" s="43" t="str">
        <v>1:N · append-only</v>
      </c>
      <c r="AF24" s="46" t="s">
        <v>1203</v>
      </c>
      <c r="AG24" s="47" t="str">
        <f t="shared" si="0"/>
        <v>TxnCollateralMessageEvent.MessageId → TxnCollateralMessage.Id</v>
      </c>
    </row>
    <row r="25" spans="2:33" x14ac:dyDescent="0.3">
      <c r="B25" s="28" t="str">
        <v/>
      </c>
      <c r="C25" s="54" t="str">
        <v>ThresholdAmount</v>
      </c>
      <c r="D25" s="17" t="str">
        <v>decimal(38,10)</v>
      </c>
      <c r="E25" s="29" t="str">
        <v>NOT NULL</v>
      </c>
      <c r="G25" s="28" t="str">
        <v/>
      </c>
      <c r="H25" s="54" t="str">
        <v>CreatedBy</v>
      </c>
      <c r="I25" s="17" t="str">
        <v>nvarchar(80)</v>
      </c>
      <c r="J25" s="29" t="str">
        <v>NOT NULL</v>
      </c>
      <c r="M25" s="54"/>
      <c r="Q25" s="50" t="str" cm="1">
        <f t="array" ref="Q25:T37">_xlfn.LET(_xlpm.d,TxnCollateralSecurity!$A$7:$F$80,_xlpm.n,INDEX(_xlpm.d,,1),_xlpm.t,INDEX(_xlpm.d,,2),_xlpm.nl,INDEX(_xlpm.d,,3),_xlpm.c,INDEX(_xlpm.d,,5),_xlpm.f,INDEX(_xlpm.d,,6),_xlpm.pk,ISNUMBER(SEARCH("PK_",_xlpm.c))+ISNUMBER(SEARCH("(PK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R25" s="57" t="str">
        <v>TxnId → TxnCollateral.Id</v>
      </c>
      <c r="S25" s="17" t="str">
        <v>bigint</v>
      </c>
      <c r="T25" s="29" t="str">
        <v>NOT NULL</v>
      </c>
      <c r="W25" s="54"/>
      <c r="AA25" s="41" t="str">
        <v>TxnCollateral</v>
      </c>
      <c r="AB25" s="41" t="str">
        <v>Id</v>
      </c>
      <c r="AC25" s="42" t="str">
        <v>TxnCollateral</v>
      </c>
      <c r="AD25" s="42" t="str">
        <v>ReversalOfId</v>
      </c>
      <c r="AE25" s="43" t="str">
        <v>1:0..1 self</v>
      </c>
      <c r="AF25" s="46" t="s">
        <v>1204</v>
      </c>
      <c r="AG25" s="47" t="str">
        <f t="shared" si="0"/>
        <v>TxnCollateral.ReversalOfId → TxnCollateral.Id</v>
      </c>
    </row>
    <row r="26" spans="2:33" x14ac:dyDescent="0.3">
      <c r="B26" s="28" t="str">
        <v/>
      </c>
      <c r="C26" s="54" t="str">
        <v>MtaAmount</v>
      </c>
      <c r="D26" s="17" t="str">
        <v>decimal(38,10)</v>
      </c>
      <c r="E26" s="29" t="str">
        <v>NOT NULL</v>
      </c>
      <c r="G26" s="28" t="str">
        <v/>
      </c>
      <c r="H26" s="54" t="str">
        <v>CreatedDate</v>
      </c>
      <c r="I26" s="17" t="str">
        <v>datetime</v>
      </c>
      <c r="J26" s="29" t="str">
        <v>NOT NULL</v>
      </c>
      <c r="M26" s="54"/>
      <c r="Q26" s="28" t="str">
        <v/>
      </c>
      <c r="R26" s="54" t="str">
        <v>ISIN</v>
      </c>
      <c r="S26" s="17" t="str">
        <v>nvarchar(12)</v>
      </c>
      <c r="T26" s="29" t="str">
        <v>NOT NULL</v>
      </c>
      <c r="W26" s="54"/>
      <c r="AA26" s="41" t="str">
        <v>DefCollateral</v>
      </c>
      <c r="AB26" s="41" t="str">
        <v>Id</v>
      </c>
      <c r="AC26" s="42" t="str">
        <v>TxnCollateralPosition</v>
      </c>
      <c r="AD26" s="42" t="str">
        <v>DefinitionId</v>
      </c>
      <c r="AE26" s="43" t="str">
        <v>1:N · bakiye projeksiyonu</v>
      </c>
      <c r="AF26" s="46" t="s">
        <v>1205</v>
      </c>
      <c r="AG26" s="47" t="str">
        <f t="shared" si="0"/>
        <v>TxnCollateralPosition.DefinitionId → DefCollateral.Id</v>
      </c>
    </row>
    <row r="27" spans="2:33" x14ac:dyDescent="0.3">
      <c r="B27" s="28" t="str">
        <v/>
      </c>
      <c r="C27" s="54" t="str">
        <v>RoundingAmount</v>
      </c>
      <c r="D27" s="17" t="str">
        <v>decimal(38,10)</v>
      </c>
      <c r="E27" s="29" t="str">
        <v>NOT NULL</v>
      </c>
      <c r="G27" s="28"/>
      <c r="H27" s="54"/>
      <c r="J27" s="29"/>
      <c r="M27" s="54"/>
      <c r="Q27" s="28" t="str">
        <v/>
      </c>
      <c r="R27" s="54" t="str">
        <v>Nominal</v>
      </c>
      <c r="S27" s="17" t="str">
        <v>decimal(38,10)</v>
      </c>
      <c r="T27" s="29" t="str">
        <v>NOT NULL</v>
      </c>
      <c r="W27" s="54"/>
      <c r="AA27" s="41" t="str">
        <v>TxnCollateral</v>
      </c>
      <c r="AB27" s="41" t="str">
        <v>Id</v>
      </c>
      <c r="AC27" s="42" t="str">
        <v>TxnCollateralPosition</v>
      </c>
      <c r="AD27" s="42" t="str">
        <v>LastTxnId</v>
      </c>
      <c r="AE27" s="43" t="str">
        <v>1:0..1 · son işleme opsiyonel referans</v>
      </c>
      <c r="AF27" s="46" t="s">
        <v>1206</v>
      </c>
      <c r="AG27" s="47" t="str">
        <f t="shared" si="0"/>
        <v>TxnCollateralPosition.LastTxnId → TxnCollateral.Id</v>
      </c>
    </row>
    <row r="28" spans="2:33" x14ac:dyDescent="0.3">
      <c r="B28" s="28" t="str">
        <v/>
      </c>
      <c r="C28" s="54" t="str">
        <v>RoundingMethod</v>
      </c>
      <c r="D28" s="17" t="str">
        <v>nvarchar(12)</v>
      </c>
      <c r="E28" s="29" t="str">
        <v>NOT NULL</v>
      </c>
      <c r="G28" s="28"/>
      <c r="H28" s="54"/>
      <c r="J28" s="29"/>
      <c r="M28" s="54"/>
      <c r="Q28" s="28" t="str">
        <v/>
      </c>
      <c r="R28" s="54" t="str">
        <v>CurrentNominalBefore</v>
      </c>
      <c r="S28" s="17" t="str">
        <v>decimal(38,10)</v>
      </c>
      <c r="T28" s="29" t="str">
        <v>NOT NULL</v>
      </c>
      <c r="W28" s="54"/>
      <c r="AA28" s="41" t="str">
        <v>(polymorphic)</v>
      </c>
      <c r="AB28" s="41" t="str">
        <v>—</v>
      </c>
      <c r="AC28" s="42" t="str">
        <v>CollateralAuditLog</v>
      </c>
      <c r="AD28" s="42" t="str">
        <v>AggregateId + AggregateType</v>
      </c>
      <c r="AE28" s="43" t="str">
        <v>Polymorphic — gerçek FK constraint mümkün değil</v>
      </c>
      <c r="AF28" s="46" t="s">
        <v>1207</v>
      </c>
      <c r="AG28" s="47" t="str">
        <f t="shared" si="0"/>
        <v>CollateralAuditLog.[AggregateId + AggregateType] → polymorphic (fiziksel FK yok)</v>
      </c>
    </row>
    <row r="29" spans="2:33" x14ac:dyDescent="0.3">
      <c r="B29" s="28"/>
      <c r="C29" s="54"/>
      <c r="E29" s="29"/>
      <c r="G29" s="28"/>
      <c r="H29" s="54"/>
      <c r="J29" s="29"/>
      <c r="M29" s="54"/>
      <c r="Q29" s="28" t="str">
        <v/>
      </c>
      <c r="R29" s="54" t="str">
        <v>Price</v>
      </c>
      <c r="S29" s="17" t="str">
        <v>decimal(38,10)</v>
      </c>
      <c r="T29" s="29" t="str">
        <v>NOT NULL</v>
      </c>
      <c r="W29" s="54"/>
      <c r="AA29" s="17" t="str">
        <v>B) Dış bağımlılıklar — mevcut MM tabloları vs yeni gerekenler</v>
      </c>
      <c r="AB29" s="17">
        <v>0</v>
      </c>
      <c r="AC29" s="17">
        <v>0</v>
      </c>
      <c r="AD29" s="17">
        <v>0</v>
      </c>
      <c r="AE29" s="17">
        <v>0</v>
      </c>
    </row>
    <row r="30" spans="2:33" x14ac:dyDescent="0.3">
      <c r="B30" s="28"/>
      <c r="C30" s="54"/>
      <c r="E30" s="29"/>
      <c r="H30" s="54"/>
      <c r="M30" s="54"/>
      <c r="Q30" s="28" t="str">
        <v/>
      </c>
      <c r="R30" s="54" t="str">
        <v>PriceDate</v>
      </c>
      <c r="S30" s="17" t="str">
        <v>date</v>
      </c>
      <c r="T30" s="29" t="str">
        <v>NOT NULL</v>
      </c>
      <c r="W30" s="54"/>
      <c r="AA30" s="17" t="str">
        <v>Kolon(lar)</v>
      </c>
      <c r="AB30" s="17" t="str">
        <v>Hedef</v>
      </c>
      <c r="AC30" s="17" t="str">
        <v>Durum</v>
      </c>
      <c r="AD30" s="17" t="str">
        <v>Not</v>
      </c>
      <c r="AE30" s="17">
        <v>0</v>
      </c>
    </row>
    <row r="31" spans="2:33" ht="15" thickBot="1" x14ac:dyDescent="0.35">
      <c r="B31" s="28"/>
      <c r="C31" s="54"/>
      <c r="E31" s="29"/>
      <c r="H31" s="54"/>
      <c r="M31" s="54"/>
      <c r="Q31" s="28" t="str">
        <v/>
      </c>
      <c r="R31" s="54" t="str">
        <v>PriceFactor</v>
      </c>
      <c r="S31" s="17" t="str">
        <v>decimal(18,10)</v>
      </c>
      <c r="T31" s="29" t="str">
        <v>NOT NULL</v>
      </c>
      <c r="W31" s="54"/>
      <c r="AA31" s="17" t="str">
        <v>CustomerId (4 tabloda)</v>
      </c>
      <c r="AB31" s="17" t="str">
        <v>CusCustomer.Id</v>
      </c>
      <c r="AC31" s="17" t="str">
        <v>✅ MM'de VAR</v>
      </c>
      <c r="AD31" s="17" t="str">
        <v>Counterparty = MM'in Customer kavramı. Tip: int (MM'in mevcut tipi)</v>
      </c>
      <c r="AE31" s="17">
        <v>0</v>
      </c>
    </row>
    <row r="32" spans="2:33" x14ac:dyDescent="0.3">
      <c r="C32" s="54"/>
      <c r="G32" s="62" t="str">
        <f>DefCollateral!A1</f>
        <v>DefCollateral</v>
      </c>
      <c r="H32" s="63"/>
      <c r="I32" s="64"/>
      <c r="J32" s="65"/>
      <c r="L32" s="66" t="str">
        <f>TxnCollateral!A1</f>
        <v>TxnCollateral</v>
      </c>
      <c r="M32" s="67"/>
      <c r="N32" s="68"/>
      <c r="O32" s="69"/>
      <c r="Q32" s="28" t="str">
        <v/>
      </c>
      <c r="R32" s="54" t="str">
        <v>MarketValue</v>
      </c>
      <c r="S32" s="17" t="str">
        <v>decimal(38,10)</v>
      </c>
      <c r="T32" s="29" t="str">
        <v>NOT NULL</v>
      </c>
      <c r="W32" s="54"/>
      <c r="AA32" s="17" t="str">
        <v>CurrencyCode (çok sayıda)</v>
      </c>
      <c r="AB32" s="17" t="str">
        <v>Currency</v>
      </c>
      <c r="AC32" s="17" t="str">
        <v>✅ MM'de VAR</v>
      </c>
      <c r="AD32" s="17" t="str">
        <v>nvarchar(3) doğal anahtar</v>
      </c>
      <c r="AE32" s="17">
        <v>0</v>
      </c>
    </row>
    <row r="33" spans="2:31" ht="15" thickBot="1" x14ac:dyDescent="0.35">
      <c r="C33" s="54"/>
      <c r="G33" s="30" t="s">
        <v>1178</v>
      </c>
      <c r="H33" s="56" t="str">
        <f>"Kolon / FK hedefi ("&amp;ROWS(_xlfn.ANCHORARRAY(G34))&amp;")"</f>
        <v>Kolon / FK hedefi (17)</v>
      </c>
      <c r="I33" s="31" t="s">
        <v>113</v>
      </c>
      <c r="J33" s="32" t="s">
        <v>730</v>
      </c>
      <c r="L33" s="33" t="s">
        <v>1178</v>
      </c>
      <c r="M33" s="58" t="str">
        <f>"Kolon / FK hedefi ("&amp;ROWS(_xlfn.ANCHORARRAY(L34))&amp;")"</f>
        <v>Kolon / FK hedefi (30)</v>
      </c>
      <c r="N33" s="34" t="s">
        <v>113</v>
      </c>
      <c r="O33" s="35" t="s">
        <v>730</v>
      </c>
      <c r="Q33" s="28" t="str">
        <v/>
      </c>
      <c r="R33" s="54" t="str">
        <v>ValuationCurrencyCode</v>
      </c>
      <c r="S33" s="17" t="str">
        <v>nvarchar(3)</v>
      </c>
      <c r="T33" s="29" t="str">
        <v>NOT NULL</v>
      </c>
      <c r="W33" s="54"/>
      <c r="AA33" s="17" t="str">
        <v>PortfolioId</v>
      </c>
      <c r="AB33" s="17" t="str">
        <v>PrfPortfolio.Id</v>
      </c>
      <c r="AC33" s="17" t="str">
        <v>✅ MM'de VAR</v>
      </c>
      <c r="AD33" s="17" t="str">
        <v>🔑 Varsayılan portföy parametreden PATH ile çözülür, Code ile değil</v>
      </c>
      <c r="AE33" s="17">
        <v>0</v>
      </c>
    </row>
    <row r="34" spans="2:31" x14ac:dyDescent="0.3">
      <c r="B34" s="62" t="str">
        <f>DefCollateralEligibleCurrency!A1</f>
        <v>DefCollateralEligibleCurrency</v>
      </c>
      <c r="C34" s="63"/>
      <c r="D34" s="64"/>
      <c r="E34" s="65"/>
      <c r="G34" s="48" t="str" cm="1">
        <f t="array" ref="G34:J50">_xlfn.LET(_xlpm.d,DefCollateral!$A$7:$F$80,_xlpm.n,INDEX(_xlpm.d,,1),_xlpm.t,INDEX(_xlpm.d,,2),_xlpm.nl,INDEX(_xlpm.d,,3),_xlpm.c,INDEX(_xlpm.d,,5),_xlpm.f,INDEX(_xlpm.d,,6),_xlpm.pk,ISNUMBER(SEARCH("PK_",_xlpm.c))+ISNUMBER(SEARCH("(PK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H34" s="52" t="str">
        <v>Id</v>
      </c>
      <c r="I34" s="17" t="str">
        <v>bigint</v>
      </c>
      <c r="J34" s="29" t="str">
        <v>NOT NULL</v>
      </c>
      <c r="L34" s="48" t="str" cm="1">
        <f t="array" ref="L34:O63">_xlfn.LET(_xlpm.d,TxnCollateral!$A$7:$F$79,_xlpm.n,INDEX(_xlpm.d,,1),_xlpm.t,INDEX(_xlpm.d,,2),_xlpm.nl,INDEX(_xlpm.d,,3),_xlpm.c,INDEX(_xlpm.d,,5),_xlpm.f,INDEX(_xlpm.d,,6),_xlpm.pk,ISNUMBER(SEARCH("PK_",_xlpm.c))+ISNUMBER(SEARCH("(PK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M34" s="52" t="str">
        <v>Id</v>
      </c>
      <c r="N34" s="17" t="str">
        <v>bigint</v>
      </c>
      <c r="O34" s="29" t="str">
        <v>NOT NULL</v>
      </c>
      <c r="Q34" s="28" t="str">
        <v/>
      </c>
      <c r="R34" s="54" t="str">
        <v>AssetHaircutRate</v>
      </c>
      <c r="S34" s="17" t="str">
        <v>decimal(18,10)</v>
      </c>
      <c r="T34" s="29" t="str">
        <v>NOT NULL</v>
      </c>
      <c r="W34" s="54"/>
      <c r="AA34" s="17" t="str">
        <v>SettlementTypeId</v>
      </c>
      <c r="AB34" s="17" t="str">
        <v>SettlementType.Id</v>
      </c>
      <c r="AC34" s="17" t="str">
        <v>✅ MM'de VAR</v>
      </c>
      <c r="AD34" s="17" t="str">
        <v>Değer kümesi örtüşüyor (Gross/Netting) — yeni tablo AÇMA</v>
      </c>
      <c r="AE34" s="17">
        <v>0</v>
      </c>
    </row>
    <row r="35" spans="2:31" ht="15" thickBot="1" x14ac:dyDescent="0.35">
      <c r="B35" s="30" t="s">
        <v>1178</v>
      </c>
      <c r="C35" s="56" t="str">
        <f>"Kolon / FK hedefi ("&amp;ROWS(_xlfn.ANCHORARRAY(B36))&amp;")"</f>
        <v>Kolon / FK hedefi (4)</v>
      </c>
      <c r="D35" s="31" t="s">
        <v>113</v>
      </c>
      <c r="E35" s="32" t="s">
        <v>730</v>
      </c>
      <c r="G35" s="49" t="str">
        <v>UQ1</v>
      </c>
      <c r="H35" s="55" t="str">
        <v>CollateralCode</v>
      </c>
      <c r="I35" s="17" t="str">
        <v>nvarchar(50)</v>
      </c>
      <c r="J35" s="29" t="str">
        <v>NOT NULL</v>
      </c>
      <c r="L35" s="49" t="str">
        <v>UQ1</v>
      </c>
      <c r="M35" s="55" t="str">
        <v>LogicalReference</v>
      </c>
      <c r="N35" s="17" t="str">
        <v>nvarchar(80)</v>
      </c>
      <c r="O35" s="29" t="str">
        <v>NOT NULL</v>
      </c>
      <c r="Q35" s="28" t="str">
        <v/>
      </c>
      <c r="R35" s="54" t="str">
        <v>FxHaircutRate</v>
      </c>
      <c r="S35" s="17" t="str">
        <v>decimal(18,10)</v>
      </c>
      <c r="T35" s="29" t="str">
        <v>NOT NULL</v>
      </c>
      <c r="W35" s="54"/>
      <c r="AA35" s="17" t="str">
        <v>PaymentInstructionTypeId</v>
      </c>
      <c r="AB35" s="17" t="str">
        <v>PaymentInstructionType.Id</v>
      </c>
      <c r="AC35" s="17" t="str">
        <v>✅ MM'de VAR</v>
      </c>
      <c r="AD35" s="17" t="str">
        <v>B2B/A2A/Vostro/A2AD — yeni tablo AÇMA</v>
      </c>
      <c r="AE35" s="17">
        <v>0</v>
      </c>
    </row>
    <row r="36" spans="2:31" x14ac:dyDescent="0.3">
      <c r="B36" s="50" t="str" cm="1">
        <f t="array" ref="B36:E39">_xlfn.LET(_xlpm.d,DefCollateralEligibleCurrency!$A$7:$F$79,_xlpm.n,INDEX(_xlpm.d,,1),_xlpm.t,INDEX(_xlpm.d,,2),_xlpm.nl,INDEX(_xlpm.d,,3),_xlpm.c,INDEX(_xlpm.d,,5),_xlpm.f,INDEX(_xlpm.d,,6),_xlpm.pk,ISNUMBER(SEARCH("PK_",_xlpm.c))+ISNUMBER(SEARCH("(PK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C36" s="57" t="str">
        <v>DefinitionId → DefCollateral.Id</v>
      </c>
      <c r="D36" s="17" t="str">
        <v>bigint</v>
      </c>
      <c r="E36" s="29" t="str">
        <v>NOT NULL</v>
      </c>
      <c r="G36" s="49" t="str">
        <v>UQ1</v>
      </c>
      <c r="H36" s="55" t="str">
        <v>RevisionNo</v>
      </c>
      <c r="I36" s="17" t="str">
        <v>int</v>
      </c>
      <c r="J36" s="29" t="str">
        <v>NOT NULL</v>
      </c>
      <c r="L36" s="49" t="str">
        <v>UQ2</v>
      </c>
      <c r="M36" s="55" t="str">
        <v>TransactionReference</v>
      </c>
      <c r="N36" s="17" t="str">
        <v>nvarchar(60)</v>
      </c>
      <c r="O36" s="29" t="str">
        <v>NOT NULL</v>
      </c>
      <c r="Q36" s="28" t="str">
        <v/>
      </c>
      <c r="R36" s="54" t="str">
        <v>FxRate</v>
      </c>
      <c r="S36" s="17" t="str">
        <v>decimal(38,10)</v>
      </c>
      <c r="T36" s="29" t="str">
        <v>NOT NULL</v>
      </c>
      <c r="W36" s="54"/>
      <c r="AA36" s="17" t="str">
        <v>TraderUserId / StateMaker / CreatedBy</v>
      </c>
      <c r="AB36" s="17" t="str">
        <v>Kullanıcı (nvarchar(80))</v>
      </c>
      <c r="AC36" s="17" t="str">
        <v>✅ MM deseni</v>
      </c>
      <c r="AD36" s="17" t="str">
        <v>MM ayrı User tablosuna FK vermiyor, string tutuyor</v>
      </c>
      <c r="AE36" s="17">
        <v>0</v>
      </c>
    </row>
    <row r="37" spans="2:31" x14ac:dyDescent="0.3">
      <c r="B37" s="48" t="str">
        <v>PK</v>
      </c>
      <c r="C37" s="52" t="str">
        <v>CurrencyCode</v>
      </c>
      <c r="D37" s="17" t="str">
        <v>nvarchar(3)</v>
      </c>
      <c r="E37" s="29" t="str">
        <v>NOT NULL</v>
      </c>
      <c r="G37" s="28" t="str">
        <v/>
      </c>
      <c r="H37" s="54" t="str">
        <v>CollateralName</v>
      </c>
      <c r="I37" s="17" t="str">
        <v>nvarchar(200)</v>
      </c>
      <c r="J37" s="29" t="str">
        <v>NOT NULL</v>
      </c>
      <c r="L37" s="44" t="str">
        <v>FK</v>
      </c>
      <c r="M37" s="53" t="str">
        <v>DefinitionId → DefCollateral.Id</v>
      </c>
      <c r="N37" s="17" t="str">
        <v>bigint</v>
      </c>
      <c r="O37" s="29" t="str">
        <v>NOT NULL</v>
      </c>
      <c r="Q37" s="28" t="str">
        <v/>
      </c>
      <c r="R37" s="54" t="str">
        <v>AdjustedEligibleValue</v>
      </c>
      <c r="S37" s="17" t="str">
        <v>decimal(38,10)</v>
      </c>
      <c r="T37" s="29" t="str">
        <v>NOT NULL</v>
      </c>
      <c r="W37" s="54"/>
      <c r="AA37" s="17" t="str">
        <v>ProductCode, SubProductCode</v>
      </c>
      <c r="AB37" s="17" t="str">
        <v>Ürün kataloğu</v>
      </c>
      <c r="AC37" s="17" t="str">
        <v>⚠️ NETLEŞMEDİ</v>
      </c>
      <c r="AD37" s="17" t="str">
        <v>MM'in PrdProductDefinition'ı hazine ürün ailesi (FX/IR/Repo) için yeterli mi?</v>
      </c>
      <c r="AE37" s="17">
        <v>0</v>
      </c>
    </row>
    <row r="38" spans="2:31" x14ac:dyDescent="0.3">
      <c r="B38" s="28" t="str">
        <v/>
      </c>
      <c r="C38" s="54" t="str">
        <v>FxAdjustmentRate</v>
      </c>
      <c r="D38" s="17" t="str">
        <v>decimal(18,10)</v>
      </c>
      <c r="E38" s="29" t="str">
        <v>NOT NULL</v>
      </c>
      <c r="G38" s="44" t="str">
        <v>FK</v>
      </c>
      <c r="H38" s="53" t="str">
        <v>AnnexId → DefCollateralAnnex.Id</v>
      </c>
      <c r="I38" s="17" t="str">
        <v>bigint</v>
      </c>
      <c r="J38" s="29" t="str">
        <v>NULL</v>
      </c>
      <c r="L38" s="44" t="str">
        <v>FK</v>
      </c>
      <c r="M38" s="53" t="str">
        <v>AnnexId → DefCollateralAnnex.Id</v>
      </c>
      <c r="N38" s="17" t="str">
        <v>bigint</v>
      </c>
      <c r="O38" s="29" t="str">
        <v>NULL</v>
      </c>
      <c r="Q38" s="28"/>
      <c r="R38" s="54"/>
      <c r="T38" s="29"/>
      <c r="W38" s="54"/>
      <c r="AA38" s="17" t="str">
        <v>SettlementAccountId, InterestAccountId</v>
      </c>
      <c r="AB38" s="17" t="str">
        <v>Hesap master</v>
      </c>
      <c r="AC38" s="17" t="str">
        <v>⚠️ NETLEŞMEDİ</v>
      </c>
      <c r="AD38" s="17" t="str">
        <v>MM'de hesap Fimple'dan geliyor (AccountNumber/GLCode kolonları), ayrı master yok</v>
      </c>
      <c r="AE38" s="17">
        <v>0</v>
      </c>
    </row>
    <row r="39" spans="2:31" x14ac:dyDescent="0.3">
      <c r="B39" s="28" t="str">
        <v/>
      </c>
      <c r="C39" s="54" t="str">
        <v>IsActive</v>
      </c>
      <c r="D39" s="17" t="str">
        <v>bit</v>
      </c>
      <c r="E39" s="29" t="str">
        <v>NOT NULL</v>
      </c>
      <c r="G39" s="28" t="str">
        <v/>
      </c>
      <c r="H39" s="54" t="str">
        <v>CustomerId</v>
      </c>
      <c r="I39" s="17" t="str">
        <v>int</v>
      </c>
      <c r="J39" s="29" t="str">
        <v>NOT NULL</v>
      </c>
      <c r="L39" s="28" t="str">
        <v/>
      </c>
      <c r="M39" s="54" t="str">
        <v>CustomerId</v>
      </c>
      <c r="N39" s="17" t="str">
        <v>int</v>
      </c>
      <c r="O39" s="29" t="str">
        <v>NOT NULL</v>
      </c>
      <c r="Q39" s="28"/>
      <c r="R39" s="54"/>
      <c r="T39" s="29"/>
      <c r="W39" s="54"/>
      <c r="AA39" s="17" t="str">
        <v>SsiId (5 kolonda)</v>
      </c>
      <c r="AB39" s="17" t="str">
        <v>SSI master</v>
      </c>
      <c r="AC39" s="17" t="str">
        <v>🔴 YENİ GEREKLİ</v>
      </c>
      <c r="AD39" s="17" t="str">
        <v>MM'de yok. Collateral içinde mi, ortak modülde mi?</v>
      </c>
      <c r="AE39" s="17">
        <v>0</v>
      </c>
    </row>
    <row r="40" spans="2:31" x14ac:dyDescent="0.3">
      <c r="B40" s="28"/>
      <c r="C40" s="54"/>
      <c r="E40" s="29"/>
      <c r="G40" s="28" t="str">
        <v/>
      </c>
      <c r="H40" s="54" t="str">
        <v>CollateralType</v>
      </c>
      <c r="I40" s="17" t="str">
        <v>nvarchar(12)</v>
      </c>
      <c r="J40" s="29" t="str">
        <v>NOT NULL</v>
      </c>
      <c r="L40" s="28" t="str">
        <v/>
      </c>
      <c r="M40" s="54" t="str">
        <v>PortfolioId</v>
      </c>
      <c r="N40" s="17" t="str">
        <v>int</v>
      </c>
      <c r="O40" s="29" t="str">
        <v>NOT NULL</v>
      </c>
      <c r="Q40" s="28"/>
      <c r="R40" s="54"/>
      <c r="T40" s="29"/>
      <c r="W40" s="54"/>
      <c r="AA40" s="17" t="str">
        <v>ISIN, SecurityTypeCode, IssuerTypeCode, MinimumRatingCode</v>
      </c>
      <c r="AB40" s="17" t="str">
        <v>Menkul kıymet master</v>
      </c>
      <c r="AC40" s="17" t="str">
        <v>🔴 YENİ GEREKLİ</v>
      </c>
      <c r="AD40" s="17" t="str">
        <v>Collateral'ın en büyük dış bağımlılığı</v>
      </c>
      <c r="AE40" s="17">
        <v>0</v>
      </c>
    </row>
    <row r="41" spans="2:31" x14ac:dyDescent="0.3">
      <c r="B41" s="28"/>
      <c r="C41" s="54"/>
      <c r="E41" s="29"/>
      <c r="G41" s="28" t="str">
        <v/>
      </c>
      <c r="H41" s="54" t="str">
        <v>IsEnabled</v>
      </c>
      <c r="I41" s="17" t="str">
        <v>bit</v>
      </c>
      <c r="J41" s="29" t="str">
        <v>NOT NULL</v>
      </c>
      <c r="L41" s="49" t="str">
        <v>UQ3</v>
      </c>
      <c r="M41" s="55" t="str">
        <v>SourceSystem</v>
      </c>
      <c r="N41" s="17" t="str">
        <v>nvarchar(50)</v>
      </c>
      <c r="O41" s="29" t="str">
        <v>NULL</v>
      </c>
      <c r="R41" s="54"/>
      <c r="W41" s="54"/>
      <c r="AA41" s="17" t="str">
        <v>SettlementLocationCode</v>
      </c>
      <c r="AB41" s="17" t="str">
        <v>CSD/ICSD kataloğu</v>
      </c>
      <c r="AC41" s="17" t="str">
        <v>🔴 YENİ GEREKLİ</v>
      </c>
      <c r="AD41" s="17" t="str">
        <v>Takasbank/Euroclear/Clearstream</v>
      </c>
      <c r="AE41" s="17">
        <v>0</v>
      </c>
    </row>
    <row r="42" spans="2:31" ht="15" thickBot="1" x14ac:dyDescent="0.35">
      <c r="B42" s="28"/>
      <c r="C42" s="54"/>
      <c r="E42" s="29"/>
      <c r="G42" s="28" t="str">
        <v/>
      </c>
      <c r="H42" s="54" t="str">
        <v>EligibilityDirection</v>
      </c>
      <c r="I42" s="17" t="str">
        <v>nvarchar(20)</v>
      </c>
      <c r="J42" s="29" t="str">
        <v>NOT NULL</v>
      </c>
      <c r="L42" s="49" t="str">
        <v>UQ3</v>
      </c>
      <c r="M42" s="55" t="str">
        <v>ExternalReference</v>
      </c>
      <c r="N42" s="17" t="str">
        <v>nvarchar(100)</v>
      </c>
      <c r="O42" s="29" t="str">
        <v>NULL</v>
      </c>
      <c r="R42" s="54"/>
      <c r="W42" s="54"/>
      <c r="AA42" s="17" t="str">
        <v>PaymentRouteCode</v>
      </c>
      <c r="AB42" s="17" t="str">
        <v>Ödeme rota konfigürasyonu</v>
      </c>
      <c r="AC42" s="17" t="str">
        <v>🔴 YENİ GEREKLİ</v>
      </c>
      <c r="AD42" s="17" t="str">
        <v>pacs.009 / MT202 / local route seçimi</v>
      </c>
      <c r="AE42" s="17">
        <v>0</v>
      </c>
    </row>
    <row r="43" spans="2:31" x14ac:dyDescent="0.3">
      <c r="C43" s="54"/>
      <c r="G43" s="28" t="str">
        <v/>
      </c>
      <c r="H43" s="54" t="str">
        <v>ValuationCurrencyCode</v>
      </c>
      <c r="I43" s="17" t="str">
        <v>nvarchar(3)</v>
      </c>
      <c r="J43" s="29" t="str">
        <v>NOT NULL</v>
      </c>
      <c r="L43" s="28" t="str">
        <v/>
      </c>
      <c r="M43" s="54" t="str">
        <v>TradeDate</v>
      </c>
      <c r="N43" s="17" t="str">
        <v>date</v>
      </c>
      <c r="O43" s="29" t="str">
        <v>NOT NULL</v>
      </c>
      <c r="Q43" s="66" t="str">
        <f>TxnCollateralValuation!A1</f>
        <v>TxnCollateralValuation</v>
      </c>
      <c r="R43" s="67"/>
      <c r="S43" s="68"/>
      <c r="T43" s="69"/>
      <c r="W43" s="54"/>
      <c r="AA43" s="17" t="str">
        <v>ReferenceRateCode</v>
      </c>
      <c r="AB43" s="17" t="str">
        <v>Referans oran kataloğu</v>
      </c>
      <c r="AC43" s="17" t="str">
        <v>🔴 YENİ GEREKLİ</v>
      </c>
      <c r="AD43" s="17" t="str">
        <v>€STR/SOFR/SONIA/TLREF</v>
      </c>
      <c r="AE43" s="17">
        <v>0</v>
      </c>
    </row>
    <row r="44" spans="2:31" ht="15" thickBot="1" x14ac:dyDescent="0.35">
      <c r="C44" s="54"/>
      <c r="G44" s="28" t="str">
        <v/>
      </c>
      <c r="H44" s="54" t="str">
        <v>ValidFrom</v>
      </c>
      <c r="I44" s="17" t="str">
        <v>date</v>
      </c>
      <c r="J44" s="29" t="str">
        <v>NOT NULL</v>
      </c>
      <c r="L44" s="28" t="str">
        <v/>
      </c>
      <c r="M44" s="54" t="str">
        <v>ValueDate</v>
      </c>
      <c r="N44" s="17" t="str">
        <v>date</v>
      </c>
      <c r="O44" s="29" t="str">
        <v>NOT NULL</v>
      </c>
      <c r="Q44" s="33" t="s">
        <v>1178</v>
      </c>
      <c r="R44" s="58" t="str">
        <f>"Kolon / FK hedefi ("&amp;ROWS(_xlfn.ANCHORARRAY(Q45))&amp;")"</f>
        <v>Kolon / FK hedefi (15)</v>
      </c>
      <c r="S44" s="34" t="s">
        <v>113</v>
      </c>
      <c r="T44" s="35" t="s">
        <v>730</v>
      </c>
      <c r="W44" s="54"/>
      <c r="AA44" s="17" t="str">
        <v>CountryOfRiskCode</v>
      </c>
      <c r="AB44" s="17" t="str">
        <v>Ülke kataloğu</v>
      </c>
      <c r="AC44" s="17" t="str">
        <v>⚠️ MM'de DefCountry var</v>
      </c>
      <c r="AD44" s="17" t="str">
        <v>Kontrol edilmeli</v>
      </c>
      <c r="AE44" s="17">
        <v>0</v>
      </c>
    </row>
    <row r="45" spans="2:31" x14ac:dyDescent="0.3">
      <c r="B45" s="62" t="str">
        <f>DefCollateralCashTerms!A1</f>
        <v>DefCollateralCashTerms</v>
      </c>
      <c r="C45" s="63"/>
      <c r="D45" s="64"/>
      <c r="E45" s="65"/>
      <c r="G45" s="28" t="str">
        <v/>
      </c>
      <c r="H45" s="54" t="str">
        <v>ValidTo</v>
      </c>
      <c r="I45" s="17" t="str">
        <v>date</v>
      </c>
      <c r="J45" s="29" t="str">
        <v>NULL</v>
      </c>
      <c r="L45" s="28" t="str">
        <v/>
      </c>
      <c r="M45" s="54" t="str">
        <v>InputDate</v>
      </c>
      <c r="N45" s="17" t="str">
        <v>datetime</v>
      </c>
      <c r="O45" s="29" t="str">
        <v>NOT NULL</v>
      </c>
      <c r="Q45" s="48" t="str" cm="1">
        <f t="array" ref="Q45:T59">_xlfn.LET(_xlpm.d,TxnCollateralValuation!$A$7:$F$80,_xlpm.n,INDEX(_xlpm.d,,1),_xlpm.t,INDEX(_xlpm.d,,2),_xlpm.nl,INDEX(_xlpm.d,,3),_xlpm.c,INDEX(_xlpm.d,,5),_xlpm.f,INDEX(_xlpm.d,,6),_xlpm.pk,ISNUMBER(SEARCH("PK_",_xlpm.c))+ISNUMBER(SEARCH("(PK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R45" s="52" t="str">
        <v>Id</v>
      </c>
      <c r="S45" s="17" t="str">
        <v>bigint</v>
      </c>
      <c r="T45" s="29" t="str">
        <v>NOT NULL</v>
      </c>
      <c r="W45" s="54"/>
    </row>
    <row r="46" spans="2:31" ht="15" thickBot="1" x14ac:dyDescent="0.35">
      <c r="B46" s="30" t="s">
        <v>1178</v>
      </c>
      <c r="C46" s="56" t="str">
        <f>"Kolon / FK hedefi ("&amp;ROWS(_xlfn.ANCHORARRAY(B47))&amp;")"</f>
        <v>Kolon / FK hedefi (10)</v>
      </c>
      <c r="D46" s="31" t="s">
        <v>113</v>
      </c>
      <c r="E46" s="32" t="s">
        <v>730</v>
      </c>
      <c r="G46" s="28" t="str">
        <v/>
      </c>
      <c r="H46" s="54" t="str">
        <v>StateId</v>
      </c>
      <c r="I46" s="17" t="str">
        <v>int</v>
      </c>
      <c r="J46" s="29" t="str">
        <v>NOT NULL</v>
      </c>
      <c r="L46" s="28" t="str">
        <v/>
      </c>
      <c r="M46" s="54" t="str">
        <v>TransactionType</v>
      </c>
      <c r="N46" s="17" t="str">
        <v>nvarchar(12)</v>
      </c>
      <c r="O46" s="29" t="str">
        <v>NOT NULL</v>
      </c>
      <c r="Q46" s="44" t="str">
        <v>FK</v>
      </c>
      <c r="R46" s="53" t="str">
        <v>TxnId → TxnCollateral.Id</v>
      </c>
      <c r="S46" s="17" t="str">
        <v>bigint</v>
      </c>
      <c r="T46" s="29" t="str">
        <v>NOT NULL</v>
      </c>
      <c r="W46" s="54"/>
    </row>
    <row r="47" spans="2:31" x14ac:dyDescent="0.3">
      <c r="B47" s="50" t="str" cm="1">
        <f t="array" ref="B47:E56">_xlfn.LET(_xlpm.d,DefCollateralCashTerms!$A$7:$F$80,_xlpm.n,INDEX(_xlpm.d,,1),_xlpm.t,INDEX(_xlpm.d,,2),_xlpm.nl,INDEX(_xlpm.d,,3),_xlpm.c,INDEX(_xlpm.d,,5),_xlpm.f,INDEX(_xlpm.d,,6),_xlpm.pk,ISNUMBER(SEARCH("PK_",_xlpm.c))+ISNUMBER(SEARCH("(PK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C47" s="57" t="str">
        <v>DefinitionId → DefCollateral.Id</v>
      </c>
      <c r="D47" s="17" t="str">
        <v>bigint</v>
      </c>
      <c r="E47" s="29" t="str">
        <v>NOT NULL</v>
      </c>
      <c r="G47" s="28" t="str">
        <v/>
      </c>
      <c r="H47" s="54" t="str">
        <v>StateMaker</v>
      </c>
      <c r="I47" s="17" t="str">
        <v>nvarchar(80)</v>
      </c>
      <c r="J47" s="29" t="str">
        <v>NOT NULL</v>
      </c>
      <c r="L47" s="28" t="str">
        <v/>
      </c>
      <c r="M47" s="54" t="str">
        <v>MarginType</v>
      </c>
      <c r="N47" s="17" t="str">
        <v>nvarchar(15)</v>
      </c>
      <c r="O47" s="29" t="str">
        <v>NOT NULL</v>
      </c>
      <c r="Q47" s="28" t="str">
        <v/>
      </c>
      <c r="R47" s="54" t="str">
        <v>SnapshotStage</v>
      </c>
      <c r="S47" s="17" t="str">
        <v>nvarchar(20)</v>
      </c>
      <c r="T47" s="29" t="str">
        <v>NOT NULL</v>
      </c>
      <c r="W47" s="54"/>
    </row>
    <row r="48" spans="2:31" x14ac:dyDescent="0.3">
      <c r="B48" s="28" t="str">
        <v/>
      </c>
      <c r="C48" s="54" t="str">
        <v>RateType</v>
      </c>
      <c r="D48" s="17" t="str">
        <v>nvarchar(20)</v>
      </c>
      <c r="E48" s="29" t="str">
        <v>NULL</v>
      </c>
      <c r="G48" s="28" t="str">
        <v/>
      </c>
      <c r="H48" s="54" t="str">
        <v>StateDate</v>
      </c>
      <c r="I48" s="17" t="str">
        <v>datetime</v>
      </c>
      <c r="J48" s="29" t="str">
        <v>NOT NULL</v>
      </c>
      <c r="L48" s="28" t="str">
        <v/>
      </c>
      <c r="M48" s="54" t="str">
        <v>CollateralType</v>
      </c>
      <c r="N48" s="17" t="str">
        <v>nvarchar(12)</v>
      </c>
      <c r="O48" s="29" t="str">
        <v>NOT NULL</v>
      </c>
      <c r="Q48" s="28" t="str">
        <v/>
      </c>
      <c r="R48" s="54" t="str">
        <v>FxRate</v>
      </c>
      <c r="S48" s="17" t="str">
        <v>decimal(38,10)</v>
      </c>
      <c r="T48" s="29" t="str">
        <v>NULL</v>
      </c>
      <c r="W48" s="54"/>
    </row>
    <row r="49" spans="2:23" x14ac:dyDescent="0.3">
      <c r="B49" s="28" t="str">
        <v/>
      </c>
      <c r="C49" s="54" t="str">
        <v>ReferenceRateCode</v>
      </c>
      <c r="D49" s="17" t="str">
        <v>nvarchar(30)</v>
      </c>
      <c r="E49" s="29" t="str">
        <v>NULL</v>
      </c>
      <c r="G49" s="28" t="str">
        <v/>
      </c>
      <c r="H49" s="54" t="str">
        <v>CreatedBy</v>
      </c>
      <c r="I49" s="17" t="str">
        <v>nvarchar(80)</v>
      </c>
      <c r="J49" s="29" t="str">
        <v>NOT NULL</v>
      </c>
      <c r="L49" s="28" t="str">
        <v/>
      </c>
      <c r="M49" s="54" t="str">
        <v>LifecycleStatus</v>
      </c>
      <c r="N49" s="17" t="str">
        <v>nvarchar(30)</v>
      </c>
      <c r="O49" s="29" t="str">
        <v>NOT NULL</v>
      </c>
      <c r="Q49" s="28" t="str">
        <v/>
      </c>
      <c r="R49" s="54" t="str">
        <v>RateConvention</v>
      </c>
      <c r="S49" s="17" t="str">
        <v>nvarchar(30)</v>
      </c>
      <c r="T49" s="29" t="str">
        <v>NULL</v>
      </c>
      <c r="W49" s="54"/>
    </row>
    <row r="50" spans="2:23" x14ac:dyDescent="0.3">
      <c r="B50" s="28" t="str">
        <v/>
      </c>
      <c r="C50" s="54" t="str">
        <v>SpreadBps</v>
      </c>
      <c r="D50" s="17" t="str">
        <v>decimal(18,10)</v>
      </c>
      <c r="E50" s="29" t="str">
        <v>NULL</v>
      </c>
      <c r="G50" s="28" t="str">
        <v/>
      </c>
      <c r="H50" s="54" t="str">
        <v>CreatedDate</v>
      </c>
      <c r="I50" s="17" t="str">
        <v>datetime</v>
      </c>
      <c r="J50" s="29" t="str">
        <v>NOT NULL</v>
      </c>
      <c r="L50" s="28" t="str">
        <v/>
      </c>
      <c r="M50" s="54" t="str">
        <v>EconomicVersion</v>
      </c>
      <c r="N50" s="17" t="str">
        <v>int</v>
      </c>
      <c r="O50" s="29" t="str">
        <v>NOT NULL</v>
      </c>
      <c r="Q50" s="28" t="str">
        <v/>
      </c>
      <c r="R50" s="54" t="str">
        <v>Price</v>
      </c>
      <c r="S50" s="17" t="str">
        <v>decimal(38,10)</v>
      </c>
      <c r="T50" s="29" t="str">
        <v>NULL</v>
      </c>
      <c r="W50" s="54"/>
    </row>
    <row r="51" spans="2:23" x14ac:dyDescent="0.3">
      <c r="B51" s="28" t="str">
        <v/>
      </c>
      <c r="C51" s="54" t="str">
        <v>FixedRate</v>
      </c>
      <c r="D51" s="17" t="str">
        <v>decimal(18,10)</v>
      </c>
      <c r="E51" s="29" t="str">
        <v>NULL</v>
      </c>
      <c r="G51" s="28"/>
      <c r="H51" s="54"/>
      <c r="J51" s="29"/>
      <c r="L51" s="44" t="str">
        <v>FK</v>
      </c>
      <c r="M51" s="53" t="str">
        <v>ReversalOfId → TxnCollateral.Id (self)</v>
      </c>
      <c r="N51" s="17" t="str">
        <v>bigint</v>
      </c>
      <c r="O51" s="29" t="str">
        <v>NULL</v>
      </c>
      <c r="Q51" s="28" t="str">
        <v/>
      </c>
      <c r="R51" s="54" t="str">
        <v>PriceDate</v>
      </c>
      <c r="S51" s="17" t="str">
        <v>date</v>
      </c>
      <c r="T51" s="29" t="str">
        <v>NULL</v>
      </c>
      <c r="W51" s="54"/>
    </row>
    <row r="52" spans="2:23" x14ac:dyDescent="0.3">
      <c r="B52" s="28" t="str">
        <v/>
      </c>
      <c r="C52" s="54" t="str">
        <v>CompoundingMethod</v>
      </c>
      <c r="D52" s="17" t="str">
        <v>nvarchar(25)</v>
      </c>
      <c r="E52" s="29" t="str">
        <v>NULL</v>
      </c>
      <c r="G52" s="28"/>
      <c r="H52" s="54"/>
      <c r="J52" s="29"/>
      <c r="L52" s="28" t="str">
        <v/>
      </c>
      <c r="M52" s="54" t="str">
        <v>Trader</v>
      </c>
      <c r="N52" s="17" t="str">
        <v>nvarchar(80)</v>
      </c>
      <c r="O52" s="29" t="str">
        <v>NOT NULL</v>
      </c>
      <c r="Q52" s="28" t="str">
        <v/>
      </c>
      <c r="R52" s="54" t="str">
        <v>AssetHaircutRate</v>
      </c>
      <c r="S52" s="17" t="str">
        <v>decimal(18,10)</v>
      </c>
      <c r="T52" s="29" t="str">
        <v>NULL</v>
      </c>
      <c r="W52" s="54"/>
    </row>
    <row r="53" spans="2:23" x14ac:dyDescent="0.3">
      <c r="B53" s="28" t="str">
        <v/>
      </c>
      <c r="C53" s="54" t="str">
        <v>DayCount</v>
      </c>
      <c r="D53" s="17" t="str">
        <v>nvarchar(15)</v>
      </c>
      <c r="E53" s="29" t="str">
        <v>NULL</v>
      </c>
      <c r="G53" s="28"/>
      <c r="H53" s="54"/>
      <c r="J53" s="29"/>
      <c r="L53" s="28" t="str">
        <v/>
      </c>
      <c r="M53" s="54" t="str">
        <v>StateId</v>
      </c>
      <c r="N53" s="17" t="str">
        <v>bigint</v>
      </c>
      <c r="O53" s="29" t="str">
        <v>NOT NULL</v>
      </c>
      <c r="Q53" s="28" t="str">
        <v/>
      </c>
      <c r="R53" s="54" t="str">
        <v>FxAdjustmentRate</v>
      </c>
      <c r="S53" s="17" t="str">
        <v>decimal(18,10)</v>
      </c>
      <c r="T53" s="29" t="str">
        <v>NULL</v>
      </c>
      <c r="W53" s="54"/>
    </row>
    <row r="54" spans="2:23" x14ac:dyDescent="0.3">
      <c r="B54" s="28" t="str">
        <v/>
      </c>
      <c r="C54" s="54" t="str">
        <v>PaymentFrequency</v>
      </c>
      <c r="D54" s="17" t="str">
        <v>nvarchar(25)</v>
      </c>
      <c r="E54" s="29" t="str">
        <v>NULL</v>
      </c>
      <c r="H54" s="54"/>
      <c r="L54" s="28" t="str">
        <v/>
      </c>
      <c r="M54" s="54" t="str">
        <v>StateMaker</v>
      </c>
      <c r="N54" s="17" t="str">
        <v>nvarchar(80)</v>
      </c>
      <c r="O54" s="29" t="str">
        <v>NOT NULL</v>
      </c>
      <c r="Q54" s="28" t="str">
        <v/>
      </c>
      <c r="R54" s="54" t="str">
        <v>FxHaircutRate</v>
      </c>
      <c r="S54" s="17" t="str">
        <v>decimal(18,10)</v>
      </c>
      <c r="T54" s="29" t="str">
        <v>NULL</v>
      </c>
      <c r="W54" s="54"/>
    </row>
    <row r="55" spans="2:23" ht="15" thickBot="1" x14ac:dyDescent="0.35">
      <c r="B55" s="28" t="str">
        <v/>
      </c>
      <c r="C55" s="54" t="str">
        <v>BusinessDayRule</v>
      </c>
      <c r="D55" s="17" t="str">
        <v>nvarchar(25)</v>
      </c>
      <c r="E55" s="29" t="str">
        <v>NULL</v>
      </c>
      <c r="H55" s="54"/>
      <c r="L55" s="28" t="str">
        <v/>
      </c>
      <c r="M55" s="54" t="str">
        <v>StateDate</v>
      </c>
      <c r="N55" s="17" t="str">
        <v>datetime</v>
      </c>
      <c r="O55" s="29" t="str">
        <v>NOT NULL</v>
      </c>
      <c r="Q55" s="28" t="str">
        <v/>
      </c>
      <c r="R55" s="54" t="str">
        <v>GrossValue</v>
      </c>
      <c r="S55" s="17" t="str">
        <v>decimal(38,10)</v>
      </c>
      <c r="T55" s="29" t="str">
        <v>NOT NULL</v>
      </c>
      <c r="W55" s="54"/>
    </row>
    <row r="56" spans="2:23" x14ac:dyDescent="0.3">
      <c r="B56" s="28" t="str">
        <v/>
      </c>
      <c r="C56" s="54" t="str">
        <v>IsNegativeRateAllowed</v>
      </c>
      <c r="D56" s="17" t="str">
        <v>bit</v>
      </c>
      <c r="E56" s="29" t="str">
        <v>NULL</v>
      </c>
      <c r="G56" s="66" t="str">
        <f>TxnCollateralPosition!A1</f>
        <v>TxnCollateralPosition</v>
      </c>
      <c r="H56" s="67"/>
      <c r="I56" s="68"/>
      <c r="J56" s="69"/>
      <c r="L56" s="28" t="str">
        <v/>
      </c>
      <c r="M56" s="54" t="str">
        <v>CreatedBy</v>
      </c>
      <c r="N56" s="17" t="str">
        <v>nvarchar(80)</v>
      </c>
      <c r="O56" s="29" t="str">
        <v>NOT NULL</v>
      </c>
      <c r="Q56" s="28" t="str">
        <v/>
      </c>
      <c r="R56" s="54" t="str">
        <v>EligibleValue</v>
      </c>
      <c r="S56" s="17" t="str">
        <v>decimal(38,10)</v>
      </c>
      <c r="T56" s="29" t="str">
        <v>NOT NULL</v>
      </c>
      <c r="W56" s="54"/>
    </row>
    <row r="57" spans="2:23" ht="15" thickBot="1" x14ac:dyDescent="0.35">
      <c r="B57" s="28"/>
      <c r="C57" s="54"/>
      <c r="E57" s="29"/>
      <c r="G57" s="33" t="s">
        <v>1178</v>
      </c>
      <c r="H57" s="58" t="str">
        <f>"Kolon / FK hedefi ("&amp;ROWS(_xlfn.ANCHORARRAY(G58))&amp;")"</f>
        <v>Kolon / FK hedefi (7)</v>
      </c>
      <c r="I57" s="34" t="s">
        <v>113</v>
      </c>
      <c r="J57" s="35" t="s">
        <v>730</v>
      </c>
      <c r="L57" s="28" t="str">
        <v/>
      </c>
      <c r="M57" s="54" t="str">
        <v>CreatedDate</v>
      </c>
      <c r="N57" s="17" t="str">
        <v>datetime</v>
      </c>
      <c r="O57" s="29" t="str">
        <v>NOT NULL</v>
      </c>
      <c r="Q57" s="28" t="str">
        <v/>
      </c>
      <c r="R57" s="54" t="str">
        <v>ValuationCurrencyCode</v>
      </c>
      <c r="S57" s="17" t="str">
        <v>nvarchar(3)</v>
      </c>
      <c r="T57" s="29" t="str">
        <v>NOT NULL</v>
      </c>
      <c r="W57" s="54"/>
    </row>
    <row r="58" spans="2:23" x14ac:dyDescent="0.3">
      <c r="B58" s="28"/>
      <c r="C58" s="54"/>
      <c r="E58" s="29"/>
      <c r="G58" s="50" t="str" cm="1">
        <f t="array" ref="G58:J64">_xlfn.LET(_xlpm.d,TxnCollateralPosition!$A$7:$F$80,_xlpm.n,INDEX(_xlpm.d,,1),_xlpm.t,INDEX(_xlpm.d,,2),_xlpm.nl,INDEX(_xlpm.d,,3),_xlpm.c,INDEX(_xlpm.d,,5),_xlpm.f,INDEX(_xlpm.d,,6),_xlpm.pk,ISNUMBER(SEARCH("PK_",_xlpm.c))+ISNUMBER(SEARCH("(PK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H58" s="57" t="str">
        <v>DefinitionId → DefCollateral.Id</v>
      </c>
      <c r="I58" s="17" t="str">
        <v>bigint</v>
      </c>
      <c r="J58" s="29" t="str">
        <v>NOT NULL</v>
      </c>
      <c r="L58" s="28" t="str">
        <v/>
      </c>
      <c r="M58" s="54" t="str">
        <v>PreviousStateId</v>
      </c>
      <c r="N58" s="17" t="str">
        <v>bigint</v>
      </c>
      <c r="O58" s="29" t="str">
        <v>NULL</v>
      </c>
      <c r="Q58" s="28" t="str">
        <v/>
      </c>
      <c r="R58" s="54" t="str">
        <v>AsOfDate</v>
      </c>
      <c r="S58" s="17" t="str">
        <v>datetime</v>
      </c>
      <c r="T58" s="29" t="str">
        <v>NOT NULL</v>
      </c>
      <c r="W58" s="54"/>
    </row>
    <row r="59" spans="2:23" x14ac:dyDescent="0.3">
      <c r="B59" s="28"/>
      <c r="C59" s="54"/>
      <c r="E59" s="29"/>
      <c r="G59" s="48" t="str">
        <v>PK</v>
      </c>
      <c r="H59" s="52" t="str">
        <v>MarginType</v>
      </c>
      <c r="I59" s="17" t="str">
        <v>nvarchar(15)</v>
      </c>
      <c r="J59" s="29" t="str">
        <v>NOT NULL</v>
      </c>
      <c r="L59" s="28" t="str">
        <v/>
      </c>
      <c r="M59" s="54" t="str">
        <v>PreviousStateMaker</v>
      </c>
      <c r="N59" s="17" t="str">
        <v>nvarchar(80)</v>
      </c>
      <c r="O59" s="29" t="str">
        <v>NULL</v>
      </c>
      <c r="Q59" s="28" t="str">
        <v/>
      </c>
      <c r="R59" s="54" t="str">
        <v>SourceRefHash</v>
      </c>
      <c r="S59" s="17" t="str">
        <v>nvarchar(128)</v>
      </c>
      <c r="T59" s="29" t="str">
        <v>NULL</v>
      </c>
      <c r="W59" s="54"/>
    </row>
    <row r="60" spans="2:23" x14ac:dyDescent="0.3">
      <c r="C60" s="54"/>
      <c r="G60" s="48" t="str">
        <v>PK</v>
      </c>
      <c r="H60" s="52" t="str">
        <v>AssetCode</v>
      </c>
      <c r="I60" s="17" t="str">
        <v>nvarchar(12)</v>
      </c>
      <c r="J60" s="29" t="str">
        <v>NOT NULL</v>
      </c>
      <c r="L60" s="28" t="str">
        <v/>
      </c>
      <c r="M60" s="54" t="str">
        <v>PreviousStateDate</v>
      </c>
      <c r="N60" s="17" t="str">
        <v>datetime</v>
      </c>
      <c r="O60" s="29" t="str">
        <v>NULL</v>
      </c>
      <c r="Q60" s="28"/>
      <c r="R60" s="54"/>
      <c r="T60" s="29"/>
      <c r="W60" s="54"/>
    </row>
    <row r="61" spans="2:23" ht="15" thickBot="1" x14ac:dyDescent="0.35">
      <c r="C61" s="54"/>
      <c r="G61" s="28" t="str">
        <v/>
      </c>
      <c r="H61" s="54" t="str">
        <v>CollateralType</v>
      </c>
      <c r="I61" s="17" t="str">
        <v>nvarchar(12)</v>
      </c>
      <c r="J61" s="29" t="str">
        <v>NOT NULL</v>
      </c>
      <c r="L61" s="28" t="str">
        <v/>
      </c>
      <c r="M61" s="54" t="str">
        <v>FlowId</v>
      </c>
      <c r="N61" s="17" t="str">
        <v>bigint</v>
      </c>
      <c r="O61" s="29" t="str">
        <v>NOT NULL</v>
      </c>
      <c r="Q61" s="28"/>
      <c r="R61" s="54"/>
      <c r="T61" s="29"/>
      <c r="W61" s="54"/>
    </row>
    <row r="62" spans="2:23" x14ac:dyDescent="0.3">
      <c r="B62" s="62" t="str">
        <f>DefCollateralSettlementMap!A1</f>
        <v>DefCollateralSettlementMap</v>
      </c>
      <c r="C62" s="63"/>
      <c r="D62" s="64"/>
      <c r="E62" s="65"/>
      <c r="G62" s="28" t="str">
        <v/>
      </c>
      <c r="H62" s="54" t="str">
        <v>CurrentBalance</v>
      </c>
      <c r="I62" s="17" t="str">
        <v>decimal(38,10)</v>
      </c>
      <c r="J62" s="29" t="str">
        <v>NOT NULL</v>
      </c>
      <c r="L62" s="28" t="str">
        <v/>
      </c>
      <c r="M62" s="54" t="str">
        <v>LastActionId</v>
      </c>
      <c r="N62" s="17" t="str">
        <v>bigint</v>
      </c>
      <c r="O62" s="29" t="str">
        <v>NOT NULL</v>
      </c>
      <c r="Q62" s="28"/>
      <c r="R62" s="54"/>
      <c r="T62" s="29"/>
      <c r="W62" s="54"/>
    </row>
    <row r="63" spans="2:23" ht="15" thickBot="1" x14ac:dyDescent="0.35">
      <c r="B63" s="30" t="s">
        <v>1178</v>
      </c>
      <c r="C63" s="56" t="str">
        <f>"Kolon / FK hedefi ("&amp;ROWS(_xlfn.ANCHORARRAY(B64))&amp;")"</f>
        <v>Kolon / FK hedefi (9)</v>
      </c>
      <c r="D63" s="31" t="s">
        <v>113</v>
      </c>
      <c r="E63" s="32" t="s">
        <v>730</v>
      </c>
      <c r="G63" s="44" t="str">
        <v>FK</v>
      </c>
      <c r="H63" s="53" t="str">
        <v>LastTxnId → TxnCollateral.Id</v>
      </c>
      <c r="I63" s="17" t="str">
        <v>bigint</v>
      </c>
      <c r="J63" s="29" t="str">
        <v>NULL</v>
      </c>
      <c r="L63" s="28" t="str">
        <v/>
      </c>
      <c r="M63" s="54" t="str">
        <v>PreviousActionId</v>
      </c>
      <c r="N63" s="17" t="str">
        <v>bigint</v>
      </c>
      <c r="O63" s="29" t="str">
        <v>NULL</v>
      </c>
      <c r="R63" s="54"/>
      <c r="W63" s="54"/>
    </row>
    <row r="64" spans="2:23" ht="15" thickBot="1" x14ac:dyDescent="0.35">
      <c r="B64" s="48" t="str" cm="1">
        <f t="array" ref="B64:E72">_xlfn.LET(_xlpm.d,DefCollateralSettlementMap!$A$7:$F$79,_xlpm.n,INDEX(_xlpm.d,,1),_xlpm.t,INDEX(_xlpm.d,,2),_xlpm.nl,INDEX(_xlpm.d,,3),_xlpm.c,INDEX(_xlpm.d,,5),_xlpm.f,INDEX(_xlpm.d,,6),_xlpm.pk,ISNUMBER(SEARCH("PK_",_xlpm.c))+ISNUMBER(SEARCH("(PK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C64" s="52" t="str">
        <v>Id</v>
      </c>
      <c r="D64" s="17" t="str">
        <v>bigint</v>
      </c>
      <c r="E64" s="29" t="str">
        <v>NOT NULL</v>
      </c>
      <c r="G64" s="28" t="str">
        <v/>
      </c>
      <c r="H64" s="54" t="str">
        <v>AsOfDate</v>
      </c>
      <c r="I64" s="17" t="str">
        <v>datetime</v>
      </c>
      <c r="J64" s="29" t="str">
        <v>NOT NULL</v>
      </c>
      <c r="L64" s="28"/>
      <c r="M64" s="54"/>
      <c r="O64" s="29"/>
      <c r="R64" s="54"/>
      <c r="W64" s="54"/>
    </row>
    <row r="65" spans="2:23" x14ac:dyDescent="0.3">
      <c r="B65" s="44" t="str">
        <v>FK</v>
      </c>
      <c r="C65" s="53" t="str">
        <v>DefinitionId → DefCollateral.Id</v>
      </c>
      <c r="D65" s="17" t="str">
        <v>bigint</v>
      </c>
      <c r="E65" s="29" t="str">
        <v>NOT NULL</v>
      </c>
      <c r="G65" s="28"/>
      <c r="H65" s="54"/>
      <c r="J65" s="29"/>
      <c r="L65" s="28"/>
      <c r="M65" s="54"/>
      <c r="O65" s="29"/>
      <c r="Q65" s="66" t="str">
        <f>TxnCollateralLimit!A1</f>
        <v>TxnCollateralLimit</v>
      </c>
      <c r="R65" s="67"/>
      <c r="S65" s="68"/>
      <c r="T65" s="69"/>
      <c r="W65" s="54"/>
    </row>
    <row r="66" spans="2:23" ht="15" thickBot="1" x14ac:dyDescent="0.35">
      <c r="B66" s="28" t="str">
        <v/>
      </c>
      <c r="C66" s="54" t="str">
        <v>TransactionType</v>
      </c>
      <c r="D66" s="17" t="str">
        <v>nvarchar(12)</v>
      </c>
      <c r="E66" s="29" t="str">
        <v>NOT NULL</v>
      </c>
      <c r="G66" s="28"/>
      <c r="H66" s="54"/>
      <c r="J66" s="29"/>
      <c r="L66" s="28"/>
      <c r="M66" s="54"/>
      <c r="O66" s="29"/>
      <c r="Q66" s="33" t="s">
        <v>1178</v>
      </c>
      <c r="R66" s="58" t="str">
        <f>"Kolon / FK hedefi ("&amp;ROWS(_xlfn.ANCHORARRAY(Q67))&amp;")"</f>
        <v>Kolon / FK hedefi (18)</v>
      </c>
      <c r="S66" s="34" t="s">
        <v>113</v>
      </c>
      <c r="T66" s="35" t="s">
        <v>730</v>
      </c>
      <c r="W66" s="54"/>
    </row>
    <row r="67" spans="2:23" x14ac:dyDescent="0.3">
      <c r="B67" s="28" t="str">
        <v/>
      </c>
      <c r="C67" s="54" t="str">
        <v>CurrencyCode</v>
      </c>
      <c r="D67" s="17" t="str">
        <v>nvarchar(3)</v>
      </c>
      <c r="E67" s="29" t="str">
        <v>NULL</v>
      </c>
      <c r="G67" s="28"/>
      <c r="H67" s="54"/>
      <c r="J67" s="29"/>
      <c r="M67" s="54"/>
      <c r="Q67" s="48" t="str" cm="1">
        <f t="array" ref="Q67:T84">_xlfn.LET(_xlpm.d,TxnCollateralLimit!$A$7:$F$80,_xlpm.n,INDEX(_xlpm.d,,1),_xlpm.t,INDEX(_xlpm.d,,2),_xlpm.nl,INDEX(_xlpm.d,,3),_xlpm.c,INDEX(_xlpm.d,,5),_xlpm.f,INDEX(_xlpm.d,,6),_xlpm.pk,ISNUMBER(SEARCH("PK_",_xlpm.c))+ISNUMBER(SEARCH("(PK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R67" s="52" t="str">
        <v>Id</v>
      </c>
      <c r="S67" s="17" t="str">
        <v>bigint</v>
      </c>
      <c r="T67" s="29" t="str">
        <v>NOT NULL</v>
      </c>
      <c r="W67" s="54"/>
    </row>
    <row r="68" spans="2:23" x14ac:dyDescent="0.3">
      <c r="B68" s="28" t="str">
        <v/>
      </c>
      <c r="C68" s="54" t="str">
        <v>SettlementLocationCode</v>
      </c>
      <c r="D68" s="17" t="str">
        <v>nvarchar(40)</v>
      </c>
      <c r="E68" s="29" t="str">
        <v>NULL</v>
      </c>
      <c r="H68" s="54"/>
      <c r="M68" s="54"/>
      <c r="Q68" s="44" t="str">
        <v>FK UQ1</v>
      </c>
      <c r="R68" s="53" t="str">
        <v>TxnId → TxnCollateral.Id</v>
      </c>
      <c r="S68" s="17" t="str">
        <v>bigint</v>
      </c>
      <c r="T68" s="29" t="str">
        <v>NOT NULL</v>
      </c>
      <c r="W68" s="54"/>
    </row>
    <row r="69" spans="2:23" x14ac:dyDescent="0.3">
      <c r="B69" s="28" t="str">
        <v/>
      </c>
      <c r="C69" s="54" t="str">
        <v>SettlementAccountId</v>
      </c>
      <c r="D69" s="17" t="str">
        <v>int</v>
      </c>
      <c r="E69" s="29" t="str">
        <v>NULL</v>
      </c>
      <c r="H69" s="54"/>
      <c r="M69" s="54"/>
      <c r="Q69" s="49" t="str">
        <v>UQ1</v>
      </c>
      <c r="R69" s="55" t="str">
        <v>SnapshotStage</v>
      </c>
      <c r="S69" s="17" t="str">
        <v>nvarchar(20)</v>
      </c>
      <c r="T69" s="29" t="str">
        <v>NOT NULL</v>
      </c>
      <c r="W69" s="54"/>
    </row>
    <row r="70" spans="2:23" x14ac:dyDescent="0.3">
      <c r="B70" s="28" t="str">
        <v/>
      </c>
      <c r="C70" s="54" t="str">
        <v>InterestAccountId</v>
      </c>
      <c r="D70" s="17" t="str">
        <v>int</v>
      </c>
      <c r="E70" s="29" t="str">
        <v>NULL</v>
      </c>
      <c r="H70" s="54"/>
      <c r="M70" s="54"/>
      <c r="Q70" s="28" t="str">
        <v/>
      </c>
      <c r="R70" s="54" t="str">
        <v>LimitStatus</v>
      </c>
      <c r="S70" s="17" t="str">
        <v>nvarchar(25)</v>
      </c>
      <c r="T70" s="29" t="str">
        <v>NOT NULL</v>
      </c>
      <c r="W70" s="54"/>
    </row>
    <row r="71" spans="2:23" x14ac:dyDescent="0.3">
      <c r="B71" s="28" t="str">
        <v/>
      </c>
      <c r="C71" s="54" t="str">
        <v>SsiId</v>
      </c>
      <c r="D71" s="17" t="str">
        <v>bigint</v>
      </c>
      <c r="E71" s="29" t="str">
        <v>NULL</v>
      </c>
      <c r="H71" s="54"/>
      <c r="M71" s="54"/>
      <c r="Q71" s="28" t="str">
        <v/>
      </c>
      <c r="R71" s="54" t="str">
        <v>AvailabilityStatus</v>
      </c>
      <c r="S71" s="17" t="str">
        <v>nvarchar(20)</v>
      </c>
      <c r="T71" s="29" t="str">
        <v>NOT NULL</v>
      </c>
      <c r="W71" s="54"/>
    </row>
    <row r="72" spans="2:23" x14ac:dyDescent="0.3">
      <c r="B72" s="28" t="str">
        <v/>
      </c>
      <c r="C72" s="54" t="str">
        <v>PaymentRouteCode</v>
      </c>
      <c r="D72" s="17" t="str">
        <v>nvarchar(40)</v>
      </c>
      <c r="E72" s="29" t="str">
        <v>NULL</v>
      </c>
      <c r="H72" s="54"/>
      <c r="M72" s="54"/>
      <c r="Q72" s="28" t="str">
        <v/>
      </c>
      <c r="R72" s="54" t="str">
        <v>DecisionCode</v>
      </c>
      <c r="S72" s="17" t="str">
        <v>nvarchar(40)</v>
      </c>
      <c r="T72" s="29" t="str">
        <v>NOT NULL</v>
      </c>
      <c r="W72" s="54"/>
    </row>
    <row r="73" spans="2:23" x14ac:dyDescent="0.3">
      <c r="B73" s="28"/>
      <c r="C73" s="54"/>
      <c r="E73" s="29"/>
      <c r="H73" s="54"/>
      <c r="M73" s="54"/>
      <c r="Q73" s="28" t="str">
        <v/>
      </c>
      <c r="R73" s="54" t="str">
        <v>IsBlocking</v>
      </c>
      <c r="S73" s="17" t="str">
        <v>bit</v>
      </c>
      <c r="T73" s="29" t="str">
        <v>NOT NULL</v>
      </c>
      <c r="W73" s="54"/>
    </row>
    <row r="74" spans="2:23" x14ac:dyDescent="0.3">
      <c r="B74" s="28"/>
      <c r="C74" s="54"/>
      <c r="E74" s="29"/>
      <c r="H74" s="54"/>
      <c r="M74" s="54"/>
      <c r="Q74" s="28" t="str">
        <v/>
      </c>
      <c r="R74" s="54" t="str">
        <v>CustomerId</v>
      </c>
      <c r="S74" s="17" t="str">
        <v>int</v>
      </c>
      <c r="T74" s="29" t="str">
        <v>NOT NULL</v>
      </c>
      <c r="W74" s="54"/>
    </row>
    <row r="75" spans="2:23" x14ac:dyDescent="0.3">
      <c r="B75" s="28"/>
      <c r="C75" s="54"/>
      <c r="E75" s="29"/>
      <c r="H75" s="54"/>
      <c r="M75" s="54"/>
      <c r="Q75" s="28" t="str">
        <v/>
      </c>
      <c r="R75" s="54" t="str">
        <v>CustomerNo</v>
      </c>
      <c r="S75" s="17" t="str">
        <v>nvarchar(50)</v>
      </c>
      <c r="T75" s="29" t="str">
        <v>NOT NULL</v>
      </c>
      <c r="W75" s="54"/>
    </row>
    <row r="76" spans="2:23" x14ac:dyDescent="0.3">
      <c r="C76" s="54"/>
      <c r="H76" s="54"/>
      <c r="M76" s="54"/>
      <c r="Q76" s="28" t="str">
        <v/>
      </c>
      <c r="R76" s="54" t="str">
        <v>LimitCurrencyCode</v>
      </c>
      <c r="S76" s="17" t="str">
        <v>nvarchar(3)</v>
      </c>
      <c r="T76" s="29" t="str">
        <v>NOT NULL</v>
      </c>
      <c r="W76" s="54"/>
    </row>
    <row r="77" spans="2:23" ht="15" thickBot="1" x14ac:dyDescent="0.35">
      <c r="C77" s="54"/>
      <c r="H77" s="54"/>
      <c r="M77" s="54"/>
      <c r="Q77" s="28" t="str">
        <v/>
      </c>
      <c r="R77" s="54" t="str">
        <v>CountryLimit</v>
      </c>
      <c r="S77" s="17" t="str">
        <v>decimal(38,10)</v>
      </c>
      <c r="T77" s="29" t="str">
        <v>NOT NULL</v>
      </c>
      <c r="W77" s="54"/>
    </row>
    <row r="78" spans="2:23" x14ac:dyDescent="0.3">
      <c r="B78" s="62" t="str">
        <f>DefCollateralSecurityRule!A1</f>
        <v>DefCollateralSecurityRule</v>
      </c>
      <c r="C78" s="63"/>
      <c r="D78" s="64"/>
      <c r="E78" s="65"/>
      <c r="H78" s="54"/>
      <c r="M78" s="54"/>
      <c r="Q78" s="28" t="str">
        <v/>
      </c>
      <c r="R78" s="54" t="str">
        <v>TotalLimit</v>
      </c>
      <c r="S78" s="17" t="str">
        <v>decimal(38,10)</v>
      </c>
      <c r="T78" s="29" t="str">
        <v>NOT NULL</v>
      </c>
      <c r="W78" s="54"/>
    </row>
    <row r="79" spans="2:23" ht="15" thickBot="1" x14ac:dyDescent="0.35">
      <c r="B79" s="30" t="s">
        <v>1178</v>
      </c>
      <c r="C79" s="56" t="str">
        <f>"Kolon / FK hedefi ("&amp;ROWS(_xlfn.ANCHORARRAY(B80))&amp;")"</f>
        <v>Kolon / FK hedefi (9)</v>
      </c>
      <c r="D79" s="31" t="s">
        <v>113</v>
      </c>
      <c r="E79" s="32" t="s">
        <v>730</v>
      </c>
      <c r="H79" s="54"/>
      <c r="M79" s="54"/>
      <c r="Q79" s="28" t="str">
        <v/>
      </c>
      <c r="R79" s="54" t="str">
        <v>UsedLimit</v>
      </c>
      <c r="S79" s="17" t="str">
        <v>decimal(38,10)</v>
      </c>
      <c r="T79" s="29" t="str">
        <v>NOT NULL</v>
      </c>
      <c r="W79" s="54"/>
    </row>
    <row r="80" spans="2:23" x14ac:dyDescent="0.3">
      <c r="B80" s="48" t="str" cm="1">
        <f t="array" ref="B80:E88">_xlfn.LET(_xlpm.d,DefCollateralSecurityRule!$A$7:$F$79,_xlpm.n,INDEX(_xlpm.d,,1),_xlpm.t,INDEX(_xlpm.d,,2),_xlpm.nl,INDEX(_xlpm.d,,3),_xlpm.c,INDEX(_xlpm.d,,5),_xlpm.f,INDEX(_xlpm.d,,6),_xlpm.pk,ISNUMBER(SEARCH("PK_",_xlpm.c))+ISNUMBER(SEARCH("(PK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C80" s="52" t="str">
        <v>Id</v>
      </c>
      <c r="D80" s="17" t="str">
        <v>bigint</v>
      </c>
      <c r="E80" s="29" t="str">
        <v>NOT NULL</v>
      </c>
      <c r="H80" s="54"/>
      <c r="M80" s="54"/>
      <c r="Q80" s="28" t="str">
        <v/>
      </c>
      <c r="R80" s="54" t="str">
        <v>AvailableLimit</v>
      </c>
      <c r="S80" s="17" t="str">
        <v>decimal(38,10)</v>
      </c>
      <c r="T80" s="29" t="str">
        <v>NOT NULL</v>
      </c>
      <c r="W80" s="54"/>
    </row>
    <row r="81" spans="2:23" x14ac:dyDescent="0.3">
      <c r="B81" s="44" t="str">
        <v>FK</v>
      </c>
      <c r="C81" s="53" t="str">
        <v>DefinitionId → DefCollateral.Id</v>
      </c>
      <c r="D81" s="17" t="str">
        <v>bigint</v>
      </c>
      <c r="E81" s="29" t="str">
        <v>NOT NULL</v>
      </c>
      <c r="H81" s="54"/>
      <c r="M81" s="54"/>
      <c r="Q81" s="28" t="str">
        <v/>
      </c>
      <c r="R81" s="54" t="str">
        <v>UtilizationRate</v>
      </c>
      <c r="S81" s="17" t="str">
        <v>decimal(18,10)</v>
      </c>
      <c r="T81" s="29" t="str">
        <v>NOT NULL</v>
      </c>
      <c r="W81" s="54"/>
    </row>
    <row r="82" spans="2:23" x14ac:dyDescent="0.3">
      <c r="B82" s="28" t="str">
        <v/>
      </c>
      <c r="C82" s="54" t="str">
        <v>SecurityTypeCode</v>
      </c>
      <c r="D82" s="17" t="str">
        <v>nvarchar(40)</v>
      </c>
      <c r="E82" s="29" t="str">
        <v>NOT NULL</v>
      </c>
      <c r="H82" s="54"/>
      <c r="M82" s="54"/>
      <c r="Q82" s="28" t="str">
        <v/>
      </c>
      <c r="R82" s="54" t="str">
        <v>RiskAmount</v>
      </c>
      <c r="S82" s="17" t="str">
        <v>decimal(38,10)</v>
      </c>
      <c r="T82" s="29" t="str">
        <v>NOT NULL</v>
      </c>
      <c r="W82" s="54"/>
    </row>
    <row r="83" spans="2:23" x14ac:dyDescent="0.3">
      <c r="B83" s="28" t="str">
        <v/>
      </c>
      <c r="C83" s="54" t="str">
        <v>IssuerTypeCode</v>
      </c>
      <c r="D83" s="17" t="str">
        <v>nvarchar(40)</v>
      </c>
      <c r="E83" s="29" t="str">
        <v>NOT NULL</v>
      </c>
      <c r="H83" s="54"/>
      <c r="M83" s="54"/>
      <c r="Q83" s="28" t="str">
        <v/>
      </c>
      <c r="R83" s="54" t="str">
        <v>AsOfDate</v>
      </c>
      <c r="S83" s="17" t="str">
        <v>datetime</v>
      </c>
      <c r="T83" s="29" t="str">
        <v>NOT NULL</v>
      </c>
      <c r="W83" s="54"/>
    </row>
    <row r="84" spans="2:23" x14ac:dyDescent="0.3">
      <c r="B84" s="28" t="str">
        <v/>
      </c>
      <c r="C84" s="54" t="str">
        <v>CountryOfRiskCode</v>
      </c>
      <c r="D84" s="17" t="str">
        <v>nvarchar(3)</v>
      </c>
      <c r="E84" s="29" t="str">
        <v>NULL</v>
      </c>
      <c r="H84" s="54"/>
      <c r="M84" s="54"/>
      <c r="Q84" s="28" t="str">
        <v/>
      </c>
      <c r="R84" s="54" t="str">
        <v>SourceRefHash</v>
      </c>
      <c r="S84" s="17" t="str">
        <v>nvarchar(128)</v>
      </c>
      <c r="T84" s="29" t="str">
        <v>NULL</v>
      </c>
      <c r="W84" s="54"/>
    </row>
    <row r="85" spans="2:23" x14ac:dyDescent="0.3">
      <c r="B85" s="28" t="str">
        <v/>
      </c>
      <c r="C85" s="54" t="str">
        <v>EligibleCurrencyCode</v>
      </c>
      <c r="D85" s="17" t="str">
        <v>nvarchar(3)</v>
      </c>
      <c r="E85" s="29" t="str">
        <v>NOT NULL</v>
      </c>
      <c r="H85" s="54"/>
      <c r="M85" s="54"/>
      <c r="Q85" s="28"/>
      <c r="R85" s="54"/>
      <c r="T85" s="29"/>
      <c r="W85" s="54"/>
    </row>
    <row r="86" spans="2:23" x14ac:dyDescent="0.3">
      <c r="B86" s="28" t="str">
        <v/>
      </c>
      <c r="C86" s="54" t="str">
        <v>MinimumRatingCode</v>
      </c>
      <c r="D86" s="17" t="str">
        <v>nvarchar(30)</v>
      </c>
      <c r="E86" s="29" t="str">
        <v>NULL</v>
      </c>
      <c r="H86" s="54"/>
      <c r="M86" s="54"/>
      <c r="Q86" s="28"/>
      <c r="R86" s="54"/>
      <c r="T86" s="29"/>
      <c r="W86" s="54"/>
    </row>
    <row r="87" spans="2:23" x14ac:dyDescent="0.3">
      <c r="B87" s="28" t="str">
        <v/>
      </c>
      <c r="C87" s="54" t="str">
        <v>MaxRemainingMaturityDays</v>
      </c>
      <c r="D87" s="17" t="str">
        <v>int</v>
      </c>
      <c r="E87" s="29" t="str">
        <v>NULL</v>
      </c>
      <c r="H87" s="54"/>
      <c r="M87" s="54"/>
      <c r="Q87" s="28"/>
      <c r="R87" s="54"/>
      <c r="T87" s="29"/>
      <c r="W87" s="54"/>
    </row>
    <row r="88" spans="2:23" x14ac:dyDescent="0.3">
      <c r="B88" s="28" t="str">
        <v/>
      </c>
      <c r="C88" s="54" t="str">
        <v>IsActive</v>
      </c>
      <c r="D88" s="17" t="str">
        <v>bit</v>
      </c>
      <c r="E88" s="29" t="str">
        <v>NOT NULL</v>
      </c>
      <c r="H88" s="54"/>
      <c r="M88" s="54"/>
      <c r="R88" s="54"/>
      <c r="W88" s="54"/>
    </row>
    <row r="89" spans="2:23" ht="15" thickBot="1" x14ac:dyDescent="0.35">
      <c r="B89" s="28"/>
      <c r="C89" s="54"/>
      <c r="E89" s="29"/>
      <c r="H89" s="54"/>
      <c r="M89" s="54"/>
      <c r="R89" s="54"/>
      <c r="W89" s="54"/>
    </row>
    <row r="90" spans="2:23" x14ac:dyDescent="0.3">
      <c r="B90" s="28"/>
      <c r="C90" s="54"/>
      <c r="E90" s="29"/>
      <c r="H90" s="54"/>
      <c r="M90" s="54"/>
      <c r="Q90" s="66" t="str">
        <f>TxnCollateralPaymentInstruction!A1</f>
        <v>TxnCollateralPaymentInstruction</v>
      </c>
      <c r="R90" s="67"/>
      <c r="S90" s="68"/>
      <c r="T90" s="69"/>
      <c r="W90" s="54"/>
    </row>
    <row r="91" spans="2:23" ht="15" thickBot="1" x14ac:dyDescent="0.35">
      <c r="B91" s="28"/>
      <c r="C91" s="54"/>
      <c r="E91" s="29"/>
      <c r="H91" s="54"/>
      <c r="M91" s="54"/>
      <c r="Q91" s="33" t="s">
        <v>1178</v>
      </c>
      <c r="R91" s="58" t="str">
        <f>"Kolon / FK hedefi ("&amp;ROWS(_xlfn.ANCHORARRAY(Q92))&amp;")"</f>
        <v>Kolon / FK hedefi (15)</v>
      </c>
      <c r="S91" s="34" t="s">
        <v>113</v>
      </c>
      <c r="T91" s="35" t="s">
        <v>730</v>
      </c>
      <c r="W91" s="54"/>
    </row>
    <row r="92" spans="2:23" x14ac:dyDescent="0.3">
      <c r="C92" s="54"/>
      <c r="H92" s="54"/>
      <c r="M92" s="54"/>
      <c r="Q92" s="48" t="str" cm="1">
        <f t="array" ref="Q92:T106">_xlfn.LET(_xlpm.d,TxnCollateralPaymentInstruction!$A$7:$F$79,_xlpm.n,INDEX(_xlpm.d,,1),_xlpm.t,INDEX(_xlpm.d,,2),_xlpm.nl,INDEX(_xlpm.d,,3),_xlpm.c,INDEX(_xlpm.d,,5),_xlpm.f,INDEX(_xlpm.d,,6),_xlpm.pk,ISNUMBER(SEARCH("PK_",_xlpm.c))+ISNUMBER(SEARCH("(PK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R92" s="52" t="str">
        <v>Id</v>
      </c>
      <c r="S92" s="17" t="str">
        <v>bigint</v>
      </c>
      <c r="T92" s="29" t="str">
        <v>NOT NULL</v>
      </c>
      <c r="W92" s="54"/>
    </row>
    <row r="93" spans="2:23" ht="15" thickBot="1" x14ac:dyDescent="0.35">
      <c r="C93" s="54"/>
      <c r="H93" s="54"/>
      <c r="M93" s="54"/>
      <c r="Q93" s="44" t="str">
        <v>FK UQ1</v>
      </c>
      <c r="R93" s="53" t="str">
        <v>TxnId → TxnCollateral.Id</v>
      </c>
      <c r="S93" s="17" t="str">
        <v>bigint</v>
      </c>
      <c r="T93" s="29" t="str">
        <v>NOT NULL</v>
      </c>
      <c r="W93" s="54"/>
    </row>
    <row r="94" spans="2:23" x14ac:dyDescent="0.3">
      <c r="B94" s="62" t="str">
        <f>DefCollateralSecurityISIN!A1</f>
        <v>DefCollateralSecurityISIN</v>
      </c>
      <c r="C94" s="63"/>
      <c r="D94" s="64"/>
      <c r="E94" s="65"/>
      <c r="H94" s="54"/>
      <c r="M94" s="54"/>
      <c r="Q94" s="49" t="str">
        <v>UQ1</v>
      </c>
      <c r="R94" s="55" t="str">
        <v>InstructionVersion</v>
      </c>
      <c r="S94" s="17" t="str">
        <v>int</v>
      </c>
      <c r="T94" s="29" t="str">
        <v>NOT NULL</v>
      </c>
      <c r="W94" s="54"/>
    </row>
    <row r="95" spans="2:23" ht="15" thickBot="1" x14ac:dyDescent="0.35">
      <c r="B95" s="30" t="s">
        <v>1178</v>
      </c>
      <c r="C95" s="56" t="str">
        <f>"Kolon / FK hedefi ("&amp;ROWS(_xlfn.ANCHORARRAY(B96))&amp;")"</f>
        <v>Kolon / FK hedefi (3)</v>
      </c>
      <c r="D95" s="31" t="s">
        <v>113</v>
      </c>
      <c r="E95" s="32" t="s">
        <v>730</v>
      </c>
      <c r="H95" s="54"/>
      <c r="M95" s="54"/>
      <c r="Q95" s="28" t="str">
        <v/>
      </c>
      <c r="R95" s="54" t="str">
        <v>SettlementTypeId</v>
      </c>
      <c r="S95" s="17" t="str">
        <v>int</v>
      </c>
      <c r="T95" s="29" t="str">
        <v>NULL</v>
      </c>
      <c r="W95" s="54"/>
    </row>
    <row r="96" spans="2:23" x14ac:dyDescent="0.3">
      <c r="B96" s="50" t="str" cm="1">
        <f t="array" ref="B96:E98">_xlfn.LET(_xlpm.d,DefCollateralSecurityISIN!$A$7:$F$79,_xlpm.n,INDEX(_xlpm.d,,1),_xlpm.t,INDEX(_xlpm.d,,2),_xlpm.nl,INDEX(_xlpm.d,,3),_xlpm.c,INDEX(_xlpm.d,,5),_xlpm.f,INDEX(_xlpm.d,,6),_xlpm.pk,ISNUMBER(SEARCH("PK_",_xlpm.c))+ISNUMBER(SEARCH("(PK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C96" s="57" t="str">
        <v>DefinitionId → DefCollateral.Id</v>
      </c>
      <c r="D96" s="17" t="str">
        <v>bigint</v>
      </c>
      <c r="E96" s="29" t="str">
        <v>NOT NULL</v>
      </c>
      <c r="H96" s="54"/>
      <c r="M96" s="54"/>
      <c r="Q96" s="28" t="str">
        <v/>
      </c>
      <c r="R96" s="54" t="str">
        <v>PaymentInstructionTypeId</v>
      </c>
      <c r="S96" s="17" t="str">
        <v>int</v>
      </c>
      <c r="T96" s="29" t="str">
        <v>NULL</v>
      </c>
      <c r="W96" s="54"/>
    </row>
    <row r="97" spans="2:25" x14ac:dyDescent="0.3">
      <c r="B97" s="48" t="str">
        <v>PK</v>
      </c>
      <c r="C97" s="52" t="str">
        <v>ISIN</v>
      </c>
      <c r="D97" s="17" t="str">
        <v>nvarchar(12)</v>
      </c>
      <c r="E97" s="29" t="str">
        <v>NOT NULL</v>
      </c>
      <c r="H97" s="54"/>
      <c r="M97" s="54"/>
      <c r="Q97" s="28" t="str">
        <v/>
      </c>
      <c r="R97" s="54" t="str">
        <v>WeSendSsiId</v>
      </c>
      <c r="S97" s="17" t="str">
        <v>bigint</v>
      </c>
      <c r="T97" s="29" t="str">
        <v>NULL</v>
      </c>
      <c r="W97" s="54"/>
    </row>
    <row r="98" spans="2:25" x14ac:dyDescent="0.3">
      <c r="B98" s="28" t="str">
        <v/>
      </c>
      <c r="C98" s="54" t="str">
        <v>IsActive</v>
      </c>
      <c r="D98" s="17" t="str">
        <v>bit</v>
      </c>
      <c r="E98" s="29" t="str">
        <v>NOT NULL</v>
      </c>
      <c r="H98" s="54"/>
      <c r="M98" s="54"/>
      <c r="Q98" s="28" t="str">
        <v/>
      </c>
      <c r="R98" s="54" t="str">
        <v>TheyReceiveSsiId</v>
      </c>
      <c r="S98" s="17" t="str">
        <v>bigint</v>
      </c>
      <c r="T98" s="29" t="str">
        <v>NULL</v>
      </c>
      <c r="W98" s="54"/>
    </row>
    <row r="99" spans="2:25" x14ac:dyDescent="0.3">
      <c r="B99" s="28"/>
      <c r="C99" s="54"/>
      <c r="E99" s="29"/>
      <c r="H99" s="54"/>
      <c r="M99" s="54"/>
      <c r="Q99" s="28" t="str">
        <v/>
      </c>
      <c r="R99" s="54" t="str">
        <v>WeReceiveSsiId</v>
      </c>
      <c r="S99" s="17" t="str">
        <v>bigint</v>
      </c>
      <c r="T99" s="29" t="str">
        <v>NULL</v>
      </c>
      <c r="W99" s="54"/>
    </row>
    <row r="100" spans="2:25" x14ac:dyDescent="0.3">
      <c r="B100" s="28"/>
      <c r="C100" s="54"/>
      <c r="E100" s="29"/>
      <c r="H100" s="54"/>
      <c r="M100" s="54"/>
      <c r="Q100" s="28" t="str">
        <v/>
      </c>
      <c r="R100" s="54" t="str">
        <v>TheySendSsiId</v>
      </c>
      <c r="S100" s="17" t="str">
        <v>bigint</v>
      </c>
      <c r="T100" s="29" t="str">
        <v>NULL</v>
      </c>
      <c r="W100" s="54"/>
    </row>
    <row r="101" spans="2:25" x14ac:dyDescent="0.3">
      <c r="B101" s="28"/>
      <c r="C101" s="54"/>
      <c r="E101" s="29"/>
      <c r="H101" s="54"/>
      <c r="M101" s="54"/>
      <c r="Q101" s="28" t="str">
        <v/>
      </c>
      <c r="R101" s="54" t="str">
        <v>SendConfirmation</v>
      </c>
      <c r="S101" s="17" t="str">
        <v>bit</v>
      </c>
      <c r="T101" s="29" t="str">
        <v>NOT NULL</v>
      </c>
      <c r="W101" s="54"/>
    </row>
    <row r="102" spans="2:25" x14ac:dyDescent="0.3">
      <c r="C102" s="54"/>
      <c r="H102" s="54"/>
      <c r="M102" s="54"/>
      <c r="Q102" s="28" t="str">
        <v/>
      </c>
      <c r="R102" s="54" t="str">
        <v>SendPayment</v>
      </c>
      <c r="S102" s="17" t="str">
        <v>bit</v>
      </c>
      <c r="T102" s="29" t="str">
        <v>NOT NULL</v>
      </c>
      <c r="W102" s="54"/>
    </row>
    <row r="103" spans="2:25" ht="15" thickBot="1" x14ac:dyDescent="0.35">
      <c r="C103" s="54"/>
      <c r="H103" s="54"/>
      <c r="M103" s="54"/>
      <c r="Q103" s="28" t="str">
        <v/>
      </c>
      <c r="R103" s="54" t="str">
        <v>SendNoticeToReceive</v>
      </c>
      <c r="S103" s="17" t="str">
        <v>bit</v>
      </c>
      <c r="T103" s="29" t="str">
        <v>NOT NULL</v>
      </c>
      <c r="W103" s="54"/>
    </row>
    <row r="104" spans="2:25" x14ac:dyDescent="0.3">
      <c r="B104" s="62" t="str">
        <f>DefCollateralSecurityTerms!A1</f>
        <v>DefCollateralSecurityTerms</v>
      </c>
      <c r="C104" s="63"/>
      <c r="D104" s="64"/>
      <c r="E104" s="65"/>
      <c r="H104" s="54"/>
      <c r="M104" s="54"/>
      <c r="Q104" s="28" t="str">
        <v/>
      </c>
      <c r="R104" s="54" t="str">
        <v>Instructions</v>
      </c>
      <c r="S104" s="17" t="str">
        <v>nvarchar(500)</v>
      </c>
      <c r="T104" s="29" t="str">
        <v>NULL</v>
      </c>
      <c r="W104" s="54"/>
    </row>
    <row r="105" spans="2:25" ht="15" thickBot="1" x14ac:dyDescent="0.35">
      <c r="B105" s="30" t="s">
        <v>1178</v>
      </c>
      <c r="C105" s="56" t="str">
        <f>"Kolon / FK hedefi ("&amp;ROWS(_xlfn.ANCHORARRAY(B106))&amp;")"</f>
        <v>Kolon / FK hedefi (9)</v>
      </c>
      <c r="D105" s="31" t="s">
        <v>113</v>
      </c>
      <c r="E105" s="32" t="s">
        <v>730</v>
      </c>
      <c r="H105" s="54"/>
      <c r="M105" s="54"/>
      <c r="Q105" s="28" t="str">
        <v/>
      </c>
      <c r="R105" s="54" t="str">
        <v>CreatedBy</v>
      </c>
      <c r="S105" s="17" t="str">
        <v>nvarchar(80)</v>
      </c>
      <c r="T105" s="29" t="str">
        <v>NOT NULL</v>
      </c>
      <c r="W105" s="54"/>
    </row>
    <row r="106" spans="2:25" x14ac:dyDescent="0.3">
      <c r="B106" s="50" t="str" cm="1">
        <f t="array" ref="B106:E114">_xlfn.LET(_xlpm.d,DefCollateralSecurityTerms!$A$7:$F$80,_xlpm.n,INDEX(_xlpm.d,,1),_xlpm.t,INDEX(_xlpm.d,,2),_xlpm.nl,INDEX(_xlpm.d,,3),_xlpm.c,INDEX(_xlpm.d,,5),_xlpm.f,INDEX(_xlpm.d,,6),_xlpm.pk,ISNUMBER(SEARCH("PK_",_xlpm.c))+ISNUMBER(SEARCH("(PK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 FK</v>
      </c>
      <c r="C106" s="57" t="str">
        <v>DefinitionId → DefCollateral.Id</v>
      </c>
      <c r="D106" s="17" t="str">
        <v>bigint</v>
      </c>
      <c r="E106" s="29" t="str">
        <v>NOT NULL</v>
      </c>
      <c r="H106" s="54"/>
      <c r="M106" s="54"/>
      <c r="Q106" s="28" t="str">
        <v/>
      </c>
      <c r="R106" s="54" t="str">
        <v>CreatedDate</v>
      </c>
      <c r="S106" s="17" t="str">
        <v>datetime</v>
      </c>
      <c r="T106" s="29" t="str">
        <v>NOT NULL</v>
      </c>
      <c r="W106" s="54"/>
    </row>
    <row r="107" spans="2:25" x14ac:dyDescent="0.3">
      <c r="B107" s="28" t="str">
        <v/>
      </c>
      <c r="C107" s="54" t="str">
        <v>PriceSource</v>
      </c>
      <c r="D107" s="17" t="str">
        <v>nvarchar(30)</v>
      </c>
      <c r="E107" s="29" t="str">
        <v>NULL</v>
      </c>
      <c r="H107" s="54"/>
      <c r="M107" s="54"/>
      <c r="Q107" s="28"/>
      <c r="R107" s="54"/>
      <c r="T107" s="29"/>
      <c r="W107" s="54"/>
    </row>
    <row r="108" spans="2:25" x14ac:dyDescent="0.3">
      <c r="B108" s="28" t="str">
        <v/>
      </c>
      <c r="C108" s="54" t="str">
        <v>PriceType</v>
      </c>
      <c r="D108" s="17" t="str">
        <v>nvarchar(25)</v>
      </c>
      <c r="E108" s="29" t="str">
        <v>NULL</v>
      </c>
      <c r="H108" s="54"/>
      <c r="M108" s="54"/>
      <c r="Q108" s="28"/>
      <c r="R108" s="54"/>
      <c r="T108" s="29"/>
      <c r="W108" s="54"/>
    </row>
    <row r="109" spans="2:25" x14ac:dyDescent="0.3">
      <c r="B109" s="28" t="str">
        <v/>
      </c>
      <c r="C109" s="54" t="str">
        <v>HaircutMethod</v>
      </c>
      <c r="D109" s="17" t="str">
        <v>nvarchar(30)</v>
      </c>
      <c r="E109" s="29" t="str">
        <v>NULL</v>
      </c>
      <c r="H109" s="54"/>
      <c r="M109" s="54"/>
      <c r="Q109" s="28"/>
      <c r="R109" s="54"/>
      <c r="T109" s="29"/>
      <c r="W109" s="54"/>
    </row>
    <row r="110" spans="2:25" x14ac:dyDescent="0.3">
      <c r="B110" s="28" t="str">
        <v/>
      </c>
      <c r="C110" s="54" t="str">
        <v>AssetHaircutRate</v>
      </c>
      <c r="D110" s="17" t="str">
        <v>decimal(18,10)</v>
      </c>
      <c r="E110" s="29" t="str">
        <v>NULL</v>
      </c>
      <c r="H110" s="54"/>
      <c r="M110" s="54"/>
      <c r="R110" s="54"/>
      <c r="W110" s="54"/>
    </row>
    <row r="111" spans="2:25" ht="15" thickBot="1" x14ac:dyDescent="0.35">
      <c r="B111" s="28" t="str">
        <v/>
      </c>
      <c r="C111" s="54" t="str">
        <v>FxHaircutRate</v>
      </c>
      <c r="D111" s="17" t="str">
        <v>decimal(18,10)</v>
      </c>
      <c r="E111" s="29" t="str">
        <v>NULL</v>
      </c>
      <c r="H111" s="54"/>
      <c r="M111" s="54"/>
      <c r="R111" s="54"/>
      <c r="W111" s="54"/>
    </row>
    <row r="112" spans="2:25" x14ac:dyDescent="0.3">
      <c r="B112" s="28" t="str">
        <v/>
      </c>
      <c r="C112" s="54" t="str">
        <v>MinimumNominal</v>
      </c>
      <c r="D112" s="17" t="str">
        <v>decimal(38,10)</v>
      </c>
      <c r="E112" s="29" t="str">
        <v>NULL</v>
      </c>
      <c r="H112" s="54"/>
      <c r="M112" s="54"/>
      <c r="Q112" s="66" t="str">
        <f>TxnCollateralMessage!A1</f>
        <v>TxnCollateralMessage</v>
      </c>
      <c r="R112" s="67"/>
      <c r="S112" s="68"/>
      <c r="T112" s="69"/>
      <c r="V112" s="66" t="str">
        <f>TxnCollateralMessageEvent!A1</f>
        <v>TxnCollateralMessageEvent</v>
      </c>
      <c r="W112" s="67"/>
      <c r="X112" s="68"/>
      <c r="Y112" s="69"/>
    </row>
    <row r="113" spans="2:25" ht="15" thickBot="1" x14ac:dyDescent="0.35">
      <c r="B113" s="28" t="str">
        <v/>
      </c>
      <c r="C113" s="54" t="str">
        <v>IncomeTreatment</v>
      </c>
      <c r="D113" s="17" t="str">
        <v>nvarchar(30)</v>
      </c>
      <c r="E113" s="29" t="str">
        <v>NULL</v>
      </c>
      <c r="H113" s="54"/>
      <c r="M113" s="54"/>
      <c r="Q113" s="33" t="s">
        <v>1178</v>
      </c>
      <c r="R113" s="58" t="str">
        <f>"Kolon / FK hedefi ("&amp;ROWS(_xlfn.ANCHORARRAY(Q114))&amp;")"</f>
        <v>Kolon / FK hedefi (21)</v>
      </c>
      <c r="S113" s="34" t="s">
        <v>113</v>
      </c>
      <c r="T113" s="35" t="s">
        <v>730</v>
      </c>
      <c r="V113" s="33" t="s">
        <v>1178</v>
      </c>
      <c r="W113" s="58" t="str">
        <f>"Kolon / FK hedefi ("&amp;ROWS(_xlfn.ANCHORARRAY(V114))&amp;")"</f>
        <v>Kolon / FK hedefi (10)</v>
      </c>
      <c r="X113" s="34" t="s">
        <v>113</v>
      </c>
      <c r="Y113" s="35" t="s">
        <v>730</v>
      </c>
    </row>
    <row r="114" spans="2:25" x14ac:dyDescent="0.3">
      <c r="B114" s="28" t="str">
        <v/>
      </c>
      <c r="C114" s="54" t="str">
        <v>CorporateActionHandling</v>
      </c>
      <c r="D114" s="17" t="str">
        <v>nvarchar(35)</v>
      </c>
      <c r="E114" s="29" t="str">
        <v>NULL</v>
      </c>
      <c r="H114" s="54"/>
      <c r="M114" s="54"/>
      <c r="Q114" s="48" t="str" cm="1">
        <f t="array" ref="Q114:T134">_xlfn.LET(_xlpm.d,TxnCollateralMessage!$A$7:$F$80,_xlpm.n,INDEX(_xlpm.d,,1),_xlpm.t,INDEX(_xlpm.d,,2),_xlpm.nl,INDEX(_xlpm.d,,3),_xlpm.c,INDEX(_xlpm.d,,5),_xlpm.f,INDEX(_xlpm.d,,6),_xlpm.pk,ISNUMBER(SEARCH("PK_",_xlpm.c))+ISNUMBER(SEARCH("(PK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R114" s="52" t="str">
        <v>Id</v>
      </c>
      <c r="S114" s="17" t="str">
        <v>bigint</v>
      </c>
      <c r="T114" s="29" t="str">
        <v>NOT NULL</v>
      </c>
      <c r="V114" s="48" t="str" cm="1">
        <f t="array" ref="V114:Y123">_xlfn.LET(_xlpm.d,TxnCollateralMessageEvent!$A$7:$F$80,_xlpm.n,INDEX(_xlpm.d,,1),_xlpm.t,INDEX(_xlpm.d,,2),_xlpm.nl,INDEX(_xlpm.d,,3),_xlpm.c,INDEX(_xlpm.d,,5),_xlpm.f,INDEX(_xlpm.d,,6),_xlpm.pk,ISNUMBER(SEARCH("PK_",_xlpm.c))+ISNUMBER(SEARCH("(PK ile)",_xlpm.c)),_xlpm.fk,(LEFT(_xlpm.f,3)="Def")+(LEFT(_xlpm.f,3)="Txn"),_xlpm.qone,ISNUMBER(SEARCH("UQ1",_xlpm.c)),_xlpm.qtwo,ISNUMBER(SEARCH("UQ2",_xlpm.c)),_xlpm.qthree,ISNUMBER(SEARCH("UQ3",_xlpm.c)),_xlpm.uq,ISNUMBER(SEARCH("UQ",_xlpm.c)),_xlpm.ul,IF(_xlpm.qone,"UQ1",IF(_xlpm.qtwo,"UQ2",IF(_xlpm.qthree,"UQ3","UQ"))),_xlpm.ky,TRIM(IF(_xlpm.pk,"PK ","")&amp;IF(_xlpm.fk,"FK ","")&amp;IF(_xlpm.uq*(_xlpm.pk=0),_xlpm.ul,"")),_xlfn._xlws.FILTER(CHOOSE({1,2,3,4},_xlpm.ky,IF(_xlpm.fk,_xlpm.n&amp;" → "&amp;_xlpm.f,_xlpm.n),_xlpm.t,IF(_xlpm.nl="Yes","NULL","NOT NULL")),(_xlpm.n&lt;&gt;"")*(LEFT(_xlpm.n,1)&lt;&gt;"—")))</f>
        <v>PK</v>
      </c>
      <c r="W114" s="52" t="str">
        <v>Id</v>
      </c>
      <c r="X114" s="17" t="str">
        <v>bigint</v>
      </c>
      <c r="Y114" s="29" t="str">
        <v>NOT NULL</v>
      </c>
    </row>
    <row r="115" spans="2:25" x14ac:dyDescent="0.3">
      <c r="B115" s="28"/>
      <c r="C115" s="54"/>
      <c r="E115" s="29"/>
      <c r="H115" s="54"/>
      <c r="M115" s="54"/>
      <c r="Q115" s="44" t="str">
        <v>FK</v>
      </c>
      <c r="R115" s="53" t="str">
        <v>TxnId → TxnCollateral.Id</v>
      </c>
      <c r="S115" s="17" t="str">
        <v>bigint</v>
      </c>
      <c r="T115" s="29" t="str">
        <v>NOT NULL</v>
      </c>
      <c r="V115" s="44" t="str">
        <v>FK</v>
      </c>
      <c r="W115" s="53" t="str">
        <v>MessageId → TxnCollateralMessage.Id</v>
      </c>
      <c r="X115" s="17" t="str">
        <v>bigint</v>
      </c>
      <c r="Y115" s="29" t="str">
        <v>NOT NULL</v>
      </c>
    </row>
    <row r="116" spans="2:25" x14ac:dyDescent="0.3">
      <c r="B116" s="28"/>
      <c r="C116" s="54"/>
      <c r="E116" s="29"/>
      <c r="H116" s="54"/>
      <c r="M116" s="54"/>
      <c r="Q116" s="28" t="str">
        <v/>
      </c>
      <c r="R116" s="54" t="str">
        <v>MessageFamily</v>
      </c>
      <c r="S116" s="17" t="str">
        <v>nvarchar(20)</v>
      </c>
      <c r="T116" s="29" t="str">
        <v>NOT NULL</v>
      </c>
      <c r="V116" s="28" t="str">
        <v/>
      </c>
      <c r="W116" s="54" t="str">
        <v>EventType</v>
      </c>
      <c r="X116" s="17" t="str">
        <v>nvarchar(30)</v>
      </c>
      <c r="Y116" s="29" t="str">
        <v>NOT NULL</v>
      </c>
    </row>
    <row r="117" spans="2:25" x14ac:dyDescent="0.3">
      <c r="B117" s="28"/>
      <c r="C117" s="54"/>
      <c r="E117" s="29"/>
      <c r="H117" s="54"/>
      <c r="M117" s="54"/>
      <c r="Q117" s="28" t="str">
        <v/>
      </c>
      <c r="R117" s="54" t="str">
        <v>MessageType</v>
      </c>
      <c r="S117" s="17" t="str">
        <v>nvarchar(30)</v>
      </c>
      <c r="T117" s="29" t="str">
        <v>NOT NULL</v>
      </c>
      <c r="V117" s="28" t="str">
        <v/>
      </c>
      <c r="W117" s="54" t="str">
        <v>ChannelStatus</v>
      </c>
      <c r="X117" s="17" t="str">
        <v>nvarchar(60)</v>
      </c>
      <c r="Y117" s="29" t="str">
        <v>NULL</v>
      </c>
    </row>
    <row r="118" spans="2:25" x14ac:dyDescent="0.3">
      <c r="C118" s="54"/>
      <c r="H118" s="54"/>
      <c r="M118" s="54"/>
      <c r="Q118" s="28" t="str">
        <v/>
      </c>
      <c r="R118" s="54" t="str">
        <v>MessagePurpose</v>
      </c>
      <c r="S118" s="17" t="str">
        <v>nvarchar(25)</v>
      </c>
      <c r="T118" s="29" t="str">
        <v>NOT NULL</v>
      </c>
      <c r="V118" s="28" t="str">
        <v/>
      </c>
      <c r="W118" s="54" t="str">
        <v>OccurredDate</v>
      </c>
      <c r="X118" s="17" t="str">
        <v>datetime</v>
      </c>
      <c r="Y118" s="29" t="str">
        <v>NOT NULL</v>
      </c>
    </row>
    <row r="119" spans="2:25" x14ac:dyDescent="0.3">
      <c r="C119" s="54"/>
      <c r="H119" s="54"/>
      <c r="M119" s="54"/>
      <c r="Q119" s="28" t="str">
        <v/>
      </c>
      <c r="R119" s="54" t="str">
        <v>BusinessService</v>
      </c>
      <c r="S119" s="17" t="str">
        <v>nvarchar(60)</v>
      </c>
      <c r="T119" s="29" t="str">
        <v>NULL</v>
      </c>
      <c r="V119" s="28" t="str">
        <v/>
      </c>
      <c r="W119" s="54" t="str">
        <v>ExternalReference</v>
      </c>
      <c r="X119" s="17" t="str">
        <v>nvarchar(100)</v>
      </c>
      <c r="Y119" s="29" t="str">
        <v>NULL</v>
      </c>
    </row>
    <row r="120" spans="2:25" x14ac:dyDescent="0.3">
      <c r="C120" s="54"/>
      <c r="H120" s="54"/>
      <c r="M120" s="54"/>
      <c r="Q120" s="28" t="str">
        <v/>
      </c>
      <c r="R120" s="54" t="str">
        <v>SenderBic</v>
      </c>
      <c r="S120" s="17" t="str">
        <v>nvarchar(11)</v>
      </c>
      <c r="T120" s="29" t="str">
        <v>NULL</v>
      </c>
      <c r="V120" s="28" t="str">
        <v/>
      </c>
      <c r="W120" s="54" t="str">
        <v>ErrorCode</v>
      </c>
      <c r="X120" s="17" t="str">
        <v>nvarchar(60)</v>
      </c>
      <c r="Y120" s="29" t="str">
        <v>NULL</v>
      </c>
    </row>
    <row r="121" spans="2:25" x14ac:dyDescent="0.3">
      <c r="C121" s="54"/>
      <c r="H121" s="54"/>
      <c r="M121" s="54"/>
      <c r="Q121" s="28" t="str">
        <v/>
      </c>
      <c r="R121" s="54" t="str">
        <v>ReceiverBic</v>
      </c>
      <c r="S121" s="17" t="str">
        <v>nvarchar(11)</v>
      </c>
      <c r="T121" s="29" t="str">
        <v>NULL</v>
      </c>
      <c r="V121" s="28" t="str">
        <v/>
      </c>
      <c r="W121" s="54" t="str">
        <v>ErrorText</v>
      </c>
      <c r="X121" s="17" t="str">
        <v>nvarchar(MAX)</v>
      </c>
      <c r="Y121" s="29" t="str">
        <v>NULL</v>
      </c>
    </row>
    <row r="122" spans="2:25" x14ac:dyDescent="0.3">
      <c r="C122" s="54"/>
      <c r="H122" s="54"/>
      <c r="M122" s="54"/>
      <c r="Q122" s="28" t="str">
        <v/>
      </c>
      <c r="R122" s="54" t="str">
        <v>SettlementAccountId</v>
      </c>
      <c r="S122" s="17" t="str">
        <v>int</v>
      </c>
      <c r="T122" s="29" t="str">
        <v>NULL</v>
      </c>
      <c r="V122" s="28" t="str">
        <v/>
      </c>
      <c r="W122" s="54" t="str">
        <v>PayloadHash</v>
      </c>
      <c r="X122" s="17" t="str">
        <v>nvarchar(128)</v>
      </c>
      <c r="Y122" s="29" t="str">
        <v>NULL</v>
      </c>
    </row>
    <row r="123" spans="2:25" x14ac:dyDescent="0.3">
      <c r="C123" s="54"/>
      <c r="H123" s="54"/>
      <c r="M123" s="54"/>
      <c r="Q123" s="28" t="str">
        <v/>
      </c>
      <c r="R123" s="54" t="str">
        <v>Amount</v>
      </c>
      <c r="S123" s="17" t="str">
        <v>decimal(38,10)</v>
      </c>
      <c r="T123" s="29" t="str">
        <v>NULL</v>
      </c>
      <c r="V123" s="28" t="str">
        <v/>
      </c>
      <c r="W123" s="54" t="str">
        <v>CorrelationId</v>
      </c>
      <c r="X123" s="17" t="str">
        <v>nvarchar(80)</v>
      </c>
      <c r="Y123" s="29" t="str">
        <v>NULL</v>
      </c>
    </row>
    <row r="124" spans="2:25" x14ac:dyDescent="0.3">
      <c r="C124" s="54"/>
      <c r="H124" s="54"/>
      <c r="M124" s="54"/>
      <c r="Q124" s="28" t="str">
        <v/>
      </c>
      <c r="R124" s="54" t="str">
        <v>CurrencyCode</v>
      </c>
      <c r="S124" s="17" t="str">
        <v>nvarchar(3)</v>
      </c>
      <c r="T124" s="29" t="str">
        <v>NULL</v>
      </c>
      <c r="V124" s="28"/>
      <c r="W124" s="54"/>
      <c r="Y124" s="29"/>
    </row>
    <row r="125" spans="2:25" x14ac:dyDescent="0.3">
      <c r="C125" s="54"/>
      <c r="H125" s="54"/>
      <c r="M125" s="54"/>
      <c r="Q125" s="28" t="str">
        <v/>
      </c>
      <c r="R125" s="54" t="str">
        <v>MessageIdentifier</v>
      </c>
      <c r="S125" s="17" t="str">
        <v>nvarchar(80)</v>
      </c>
      <c r="T125" s="29" t="str">
        <v>NOT NULL</v>
      </c>
      <c r="V125" s="28"/>
      <c r="W125" s="54"/>
      <c r="Y125" s="29"/>
    </row>
    <row r="126" spans="2:25" x14ac:dyDescent="0.3">
      <c r="C126" s="54"/>
      <c r="H126" s="54"/>
      <c r="M126" s="54"/>
      <c r="Q126" s="28" t="str">
        <v/>
      </c>
      <c r="R126" s="54" t="str">
        <v>InstructionId</v>
      </c>
      <c r="S126" s="17" t="str">
        <v>nvarchar(80)</v>
      </c>
      <c r="T126" s="29" t="str">
        <v>NULL</v>
      </c>
      <c r="V126" s="28"/>
      <c r="W126" s="54"/>
      <c r="Y126" s="29"/>
    </row>
    <row r="127" spans="2:25" x14ac:dyDescent="0.3">
      <c r="C127" s="54"/>
      <c r="H127" s="54"/>
      <c r="M127" s="54"/>
      <c r="Q127" s="49" t="str">
        <v>UQ1</v>
      </c>
      <c r="R127" s="55" t="str">
        <v>UETR</v>
      </c>
      <c r="S127" s="17" t="str">
        <v>uniqueidentifier</v>
      </c>
      <c r="T127" s="29" t="str">
        <v>NULL</v>
      </c>
      <c r="W127" s="54"/>
    </row>
    <row r="128" spans="2:25" x14ac:dyDescent="0.3">
      <c r="C128" s="54"/>
      <c r="H128" s="54"/>
      <c r="M128" s="54"/>
      <c r="Q128" s="28" t="str">
        <v/>
      </c>
      <c r="R128" s="54" t="str">
        <v>CurrentStatus</v>
      </c>
      <c r="S128" s="17" t="str">
        <v>nvarchar(25)</v>
      </c>
      <c r="T128" s="29" t="str">
        <v>NOT NULL</v>
      </c>
      <c r="W128" s="54"/>
    </row>
    <row r="129" spans="3:23" x14ac:dyDescent="0.3">
      <c r="C129" s="54"/>
      <c r="H129" s="54"/>
      <c r="M129" s="54"/>
      <c r="Q129" s="28" t="str">
        <v/>
      </c>
      <c r="R129" s="54" t="str">
        <v>GeneratedDate</v>
      </c>
      <c r="S129" s="17" t="str">
        <v>datetime</v>
      </c>
      <c r="T129" s="29" t="str">
        <v>NULL</v>
      </c>
      <c r="W129" s="54"/>
    </row>
    <row r="130" spans="3:23" x14ac:dyDescent="0.3">
      <c r="C130" s="54"/>
      <c r="H130" s="54"/>
      <c r="M130" s="54"/>
      <c r="Q130" s="28" t="str">
        <v/>
      </c>
      <c r="R130" s="54" t="str">
        <v>SentDate</v>
      </c>
      <c r="S130" s="17" t="str">
        <v>datetime</v>
      </c>
      <c r="T130" s="29" t="str">
        <v>NULL</v>
      </c>
      <c r="W130" s="54"/>
    </row>
    <row r="131" spans="3:23" x14ac:dyDescent="0.3">
      <c r="C131" s="54"/>
      <c r="H131" s="54"/>
      <c r="M131" s="54"/>
      <c r="Q131" s="28" t="str">
        <v/>
      </c>
      <c r="R131" s="54" t="str">
        <v>RawMessageRef</v>
      </c>
      <c r="S131" s="17" t="str">
        <v>nvarchar(250)</v>
      </c>
      <c r="T131" s="29" t="str">
        <v>NULL</v>
      </c>
      <c r="W131" s="54"/>
    </row>
    <row r="132" spans="3:23" x14ac:dyDescent="0.3">
      <c r="C132" s="54"/>
      <c r="H132" s="54"/>
      <c r="M132" s="54"/>
      <c r="Q132" s="28" t="str">
        <v/>
      </c>
      <c r="R132" s="54" t="str">
        <v>RawMessageHash</v>
      </c>
      <c r="S132" s="17" t="str">
        <v>nvarchar(128)</v>
      </c>
      <c r="T132" s="29" t="str">
        <v>NULL</v>
      </c>
      <c r="W132" s="54"/>
    </row>
    <row r="133" spans="3:23" x14ac:dyDescent="0.3">
      <c r="C133" s="54"/>
      <c r="H133" s="54"/>
      <c r="M133" s="54"/>
      <c r="Q133" s="28" t="str">
        <v/>
      </c>
      <c r="R133" s="54" t="str">
        <v>RetryCount</v>
      </c>
      <c r="S133" s="17" t="str">
        <v>int</v>
      </c>
      <c r="T133" s="29" t="str">
        <v>NOT NULL</v>
      </c>
      <c r="W133" s="54"/>
    </row>
    <row r="134" spans="3:23" x14ac:dyDescent="0.3">
      <c r="C134" s="54"/>
      <c r="H134" s="54"/>
      <c r="M134" s="54"/>
      <c r="Q134" s="49" t="str">
        <v>UQ2</v>
      </c>
      <c r="R134" s="55" t="str">
        <v>IdempotencyKey</v>
      </c>
      <c r="S134" s="17" t="str">
        <v>nvarchar(160)</v>
      </c>
      <c r="T134" s="29" t="str">
        <v>NOT NULL</v>
      </c>
      <c r="W134" s="54"/>
    </row>
    <row r="135" spans="3:23" x14ac:dyDescent="0.3">
      <c r="Q135" s="28"/>
      <c r="T135" s="29"/>
    </row>
    <row r="136" spans="3:23" x14ac:dyDescent="0.3">
      <c r="Q136" s="28"/>
      <c r="T136" s="29"/>
    </row>
    <row r="137" spans="3:23" x14ac:dyDescent="0.3">
      <c r="Q137" s="28"/>
      <c r="T137" s="29"/>
    </row>
  </sheetData>
  <mergeCells count="22">
    <mergeCell ref="B94:E94"/>
    <mergeCell ref="B104:E104"/>
    <mergeCell ref="G6:J6"/>
    <mergeCell ref="G32:J32"/>
    <mergeCell ref="G56:J56"/>
    <mergeCell ref="V6:Y6"/>
    <mergeCell ref="V112:Y112"/>
    <mergeCell ref="AA5:AE5"/>
    <mergeCell ref="AF5:AG5"/>
    <mergeCell ref="Q6:T6"/>
    <mergeCell ref="Q23:T23"/>
    <mergeCell ref="Q43:T43"/>
    <mergeCell ref="Q65:T65"/>
    <mergeCell ref="Q90:T90"/>
    <mergeCell ref="Q112:T112"/>
    <mergeCell ref="B62:E62"/>
    <mergeCell ref="B78:E78"/>
    <mergeCell ref="L32:O32"/>
    <mergeCell ref="B6:E6"/>
    <mergeCell ref="B19:E19"/>
    <mergeCell ref="B34:E34"/>
    <mergeCell ref="B45:E45"/>
  </mergeCells>
  <conditionalFormatting sqref="B8:E16">
    <cfRule type="expression" dxfId="60" priority="1">
      <formula>ISNUMBER(SEARCH("PK",$B8))</formula>
    </cfRule>
    <cfRule type="expression" dxfId="59" priority="2">
      <formula>ISNUMBER(SEARCH("FK",$B8))</formula>
    </cfRule>
    <cfRule type="expression" dxfId="58" priority="3">
      <formula>$C8&lt;&gt;""</formula>
    </cfRule>
  </conditionalFormatting>
  <conditionalFormatting sqref="B21:E31">
    <cfRule type="expression" dxfId="57" priority="4">
      <formula>ISNUMBER(SEARCH("PK",$B21))</formula>
    </cfRule>
    <cfRule type="expression" dxfId="56" priority="5">
      <formula>ISNUMBER(SEARCH("FK",$B21))</formula>
    </cfRule>
    <cfRule type="expression" dxfId="55" priority="6">
      <formula>$C21&lt;&gt;""</formula>
    </cfRule>
  </conditionalFormatting>
  <conditionalFormatting sqref="B36:E42">
    <cfRule type="expression" dxfId="54" priority="7">
      <formula>ISNUMBER(SEARCH("PK",$B36))</formula>
    </cfRule>
    <cfRule type="expression" dxfId="53" priority="8">
      <formula>ISNUMBER(SEARCH("FK",$B36))</formula>
    </cfRule>
    <cfRule type="expression" dxfId="52" priority="9">
      <formula>$C36&lt;&gt;""</formula>
    </cfRule>
  </conditionalFormatting>
  <conditionalFormatting sqref="B47:E59">
    <cfRule type="expression" dxfId="51" priority="10">
      <formula>ISNUMBER(SEARCH("PK",$B47))</formula>
    </cfRule>
    <cfRule type="expression" dxfId="50" priority="11">
      <formula>ISNUMBER(SEARCH("FK",$B47))</formula>
    </cfRule>
    <cfRule type="expression" dxfId="49" priority="12">
      <formula>$C47&lt;&gt;""</formula>
    </cfRule>
  </conditionalFormatting>
  <conditionalFormatting sqref="B64:E75">
    <cfRule type="expression" dxfId="48" priority="13">
      <formula>ISNUMBER(SEARCH("PK",$B64))</formula>
    </cfRule>
    <cfRule type="expression" dxfId="47" priority="14">
      <formula>ISNUMBER(SEARCH("FK",$B64))</formula>
    </cfRule>
    <cfRule type="expression" dxfId="46" priority="15">
      <formula>$C64&lt;&gt;""</formula>
    </cfRule>
  </conditionalFormatting>
  <conditionalFormatting sqref="B80:E91">
    <cfRule type="expression" dxfId="45" priority="16">
      <formula>ISNUMBER(SEARCH("PK",$B80))</formula>
    </cfRule>
    <cfRule type="expression" dxfId="44" priority="17">
      <formula>ISNUMBER(SEARCH("FK",$B80))</formula>
    </cfRule>
    <cfRule type="expression" dxfId="43" priority="18">
      <formula>$C80&lt;&gt;""</formula>
    </cfRule>
  </conditionalFormatting>
  <conditionalFormatting sqref="B96:E101">
    <cfRule type="expression" dxfId="42" priority="19">
      <formula>ISNUMBER(SEARCH("PK",$B96))</formula>
    </cfRule>
    <cfRule type="expression" dxfId="41" priority="20">
      <formula>ISNUMBER(SEARCH("FK",$B96))</formula>
    </cfRule>
    <cfRule type="expression" dxfId="40" priority="21">
      <formula>$C96&lt;&gt;""</formula>
    </cfRule>
  </conditionalFormatting>
  <conditionalFormatting sqref="B106:E117">
    <cfRule type="expression" dxfId="39" priority="22">
      <formula>ISNUMBER(SEARCH("PK",$B106))</formula>
    </cfRule>
    <cfRule type="expression" dxfId="38" priority="23">
      <formula>ISNUMBER(SEARCH("FK",$B106))</formula>
    </cfRule>
    <cfRule type="expression" dxfId="37" priority="24">
      <formula>$C106&lt;&gt;""</formula>
    </cfRule>
  </conditionalFormatting>
  <conditionalFormatting sqref="G8:J29">
    <cfRule type="expression" dxfId="36" priority="25">
      <formula>ISNUMBER(SEARCH("PK",$G8))</formula>
    </cfRule>
    <cfRule type="expression" dxfId="35" priority="26">
      <formula>ISNUMBER(SEARCH("FK",$G8))</formula>
    </cfRule>
    <cfRule type="expression" dxfId="34" priority="27">
      <formula>$H8&lt;&gt;""</formula>
    </cfRule>
  </conditionalFormatting>
  <conditionalFormatting sqref="G34:J53">
    <cfRule type="expression" dxfId="33" priority="28">
      <formula>ISNUMBER(SEARCH("PK",$G34))</formula>
    </cfRule>
    <cfRule type="expression" dxfId="32" priority="29">
      <formula>ISNUMBER(SEARCH("FK",$G34))</formula>
    </cfRule>
    <cfRule type="expression" dxfId="31" priority="30">
      <formula>$H34&lt;&gt;""</formula>
    </cfRule>
  </conditionalFormatting>
  <conditionalFormatting sqref="G58:J67">
    <cfRule type="expression" dxfId="30" priority="31">
      <formula>ISNUMBER(SEARCH("PK",$G58))</formula>
    </cfRule>
    <cfRule type="expression" dxfId="29" priority="32">
      <formula>ISNUMBER(SEARCH("FK",$G58))</formula>
    </cfRule>
    <cfRule type="expression" dxfId="28" priority="33">
      <formula>$H58&lt;&gt;""</formula>
    </cfRule>
  </conditionalFormatting>
  <conditionalFormatting sqref="L34:O66">
    <cfRule type="expression" dxfId="27" priority="34">
      <formula>ISNUMBER(SEARCH("PK",$L34))</formula>
    </cfRule>
    <cfRule type="expression" dxfId="26" priority="35">
      <formula>ISNUMBER(SEARCH("FK",$L34))</formula>
    </cfRule>
    <cfRule type="expression" dxfId="25" priority="36">
      <formula>$M34&lt;&gt;""</formula>
    </cfRule>
  </conditionalFormatting>
  <conditionalFormatting sqref="Q8:T20">
    <cfRule type="expression" dxfId="24" priority="37">
      <formula>ISNUMBER(SEARCH("PK",$Q8))</formula>
    </cfRule>
    <cfRule type="expression" dxfId="23" priority="38">
      <formula>ISNUMBER(SEARCH("FK",$Q8))</formula>
    </cfRule>
    <cfRule type="expression" dxfId="22" priority="39">
      <formula>$R8&lt;&gt;""</formula>
    </cfRule>
  </conditionalFormatting>
  <conditionalFormatting sqref="Q25:T40">
    <cfRule type="expression" dxfId="21" priority="40">
      <formula>ISNUMBER(SEARCH("PK",$Q25))</formula>
    </cfRule>
    <cfRule type="expression" dxfId="20" priority="41">
      <formula>ISNUMBER(SEARCH("FK",$Q25))</formula>
    </cfRule>
    <cfRule type="expression" dxfId="19" priority="42">
      <formula>$R25&lt;&gt;""</formula>
    </cfRule>
  </conditionalFormatting>
  <conditionalFormatting sqref="Q45:T62">
    <cfRule type="expression" dxfId="18" priority="43">
      <formula>ISNUMBER(SEARCH("PK",$Q45))</formula>
    </cfRule>
    <cfRule type="expression" dxfId="17" priority="44">
      <formula>ISNUMBER(SEARCH("FK",$Q45))</formula>
    </cfRule>
    <cfRule type="expression" dxfId="16" priority="45">
      <formula>$R45&lt;&gt;""</formula>
    </cfRule>
  </conditionalFormatting>
  <conditionalFormatting sqref="Q67:T87">
    <cfRule type="expression" dxfId="15" priority="46">
      <formula>ISNUMBER(SEARCH("PK",$Q67))</formula>
    </cfRule>
    <cfRule type="expression" dxfId="14" priority="47">
      <formula>ISNUMBER(SEARCH("FK",$Q67))</formula>
    </cfRule>
    <cfRule type="expression" dxfId="13" priority="48">
      <formula>$R67&lt;&gt;""</formula>
    </cfRule>
  </conditionalFormatting>
  <conditionalFormatting sqref="Q92:T109">
    <cfRule type="expression" dxfId="12" priority="49">
      <formula>ISNUMBER(SEARCH("PK",$Q92))</formula>
    </cfRule>
    <cfRule type="expression" dxfId="11" priority="50">
      <formula>ISNUMBER(SEARCH("FK",$Q92))</formula>
    </cfRule>
    <cfRule type="expression" dxfId="10" priority="51">
      <formula>$R92&lt;&gt;""</formula>
    </cfRule>
  </conditionalFormatting>
  <conditionalFormatting sqref="Q114:T137">
    <cfRule type="expression" dxfId="9" priority="52">
      <formula>ISNUMBER(SEARCH("PK",$Q114))</formula>
    </cfRule>
    <cfRule type="expression" dxfId="8" priority="53">
      <formula>ISNUMBER(SEARCH("FK",$Q114))</formula>
    </cfRule>
    <cfRule type="expression" dxfId="7" priority="54">
      <formula>$R114&lt;&gt;""</formula>
    </cfRule>
  </conditionalFormatting>
  <conditionalFormatting sqref="V8:Y21">
    <cfRule type="expression" dxfId="6" priority="55">
      <formula>ISNUMBER(SEARCH("PK",$V8))</formula>
    </cfRule>
    <cfRule type="expression" dxfId="5" priority="56">
      <formula>ISNUMBER(SEARCH("FK",$V8))</formula>
    </cfRule>
    <cfRule type="expression" dxfId="4" priority="57">
      <formula>$W8&lt;&gt;""</formula>
    </cfRule>
  </conditionalFormatting>
  <conditionalFormatting sqref="V114:Y126">
    <cfRule type="expression" dxfId="3" priority="58">
      <formula>ISNUMBER(SEARCH("PK",$V114))</formula>
    </cfRule>
    <cfRule type="expression" dxfId="2" priority="59">
      <formula>ISNUMBER(SEARCH("FK",$V114))</formula>
    </cfRule>
    <cfRule type="expression" dxfId="1" priority="60">
      <formula>$W114&lt;&gt;""</formula>
    </cfRule>
  </conditionalFormatting>
  <conditionalFormatting sqref="AA7:AE59">
    <cfRule type="expression" dxfId="0" priority="61">
      <formula>$AA7&lt;&gt;""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topLeftCell="B1" workbookViewId="0">
      <pane ySplit="6" topLeftCell="A7" activePane="bottomLeft" state="frozen"/>
      <selection pane="bottomLeft" activeCell="A4" sqref="A4:G4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43.109375" customWidth="1"/>
    <col min="6" max="6" width="30" customWidth="1"/>
    <col min="7" max="7" width="128.6640625" customWidth="1"/>
    <col min="8" max="8" width="45.33203125" customWidth="1"/>
  </cols>
  <sheetData>
    <row r="1" spans="1:8" ht="18" x14ac:dyDescent="0.35">
      <c r="A1" s="6" t="s">
        <v>43</v>
      </c>
      <c r="B1" s="2" t="s">
        <v>726</v>
      </c>
    </row>
    <row r="2" spans="1:8" x14ac:dyDescent="0.3">
      <c r="A2" s="81" t="s">
        <v>727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1213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ht="28.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347</v>
      </c>
      <c r="F7" s="4" t="s">
        <v>66</v>
      </c>
      <c r="G7" s="4" t="s">
        <v>735</v>
      </c>
      <c r="H7" s="4" t="s">
        <v>1232</v>
      </c>
    </row>
    <row r="8" spans="1:8" x14ac:dyDescent="0.3">
      <c r="A8" s="4" t="s">
        <v>736</v>
      </c>
      <c r="B8" s="4" t="s">
        <v>147</v>
      </c>
      <c r="C8" s="4" t="s">
        <v>733</v>
      </c>
      <c r="D8" s="4" t="s">
        <v>66</v>
      </c>
      <c r="E8" s="4" t="s">
        <v>1219</v>
      </c>
      <c r="F8" s="4" t="s">
        <v>66</v>
      </c>
      <c r="G8" s="4" t="s">
        <v>737</v>
      </c>
      <c r="H8" s="4" t="s">
        <v>1233</v>
      </c>
    </row>
    <row r="9" spans="1:8" x14ac:dyDescent="0.3">
      <c r="A9" s="4" t="s">
        <v>738</v>
      </c>
      <c r="B9" s="4" t="s">
        <v>739</v>
      </c>
      <c r="C9" s="4" t="s">
        <v>733</v>
      </c>
      <c r="D9" s="4" t="s">
        <v>740</v>
      </c>
      <c r="E9" s="4" t="s">
        <v>1220</v>
      </c>
      <c r="F9" s="4" t="s">
        <v>66</v>
      </c>
      <c r="G9" s="4" t="s">
        <v>741</v>
      </c>
      <c r="H9" s="4" t="s">
        <v>1233</v>
      </c>
    </row>
    <row r="10" spans="1:8" x14ac:dyDescent="0.3">
      <c r="A10" s="4" t="s">
        <v>742</v>
      </c>
      <c r="B10" s="4" t="s">
        <v>743</v>
      </c>
      <c r="C10" s="4" t="s">
        <v>733</v>
      </c>
      <c r="D10" s="4" t="s">
        <v>66</v>
      </c>
      <c r="E10" s="4" t="s">
        <v>66</v>
      </c>
      <c r="F10" s="4" t="s">
        <v>66</v>
      </c>
      <c r="G10" s="4" t="s">
        <v>744</v>
      </c>
      <c r="H10" s="4"/>
    </row>
    <row r="11" spans="1:8" x14ac:dyDescent="0.3">
      <c r="A11" s="4" t="s">
        <v>745</v>
      </c>
      <c r="B11" s="4" t="s">
        <v>739</v>
      </c>
      <c r="C11" s="4" t="s">
        <v>733</v>
      </c>
      <c r="D11" s="4" t="s">
        <v>66</v>
      </c>
      <c r="E11" s="4" t="s">
        <v>446</v>
      </c>
      <c r="F11" s="4" t="s">
        <v>681</v>
      </c>
      <c r="G11" s="4" t="s">
        <v>746</v>
      </c>
      <c r="H11" s="4" t="s">
        <v>1234</v>
      </c>
    </row>
    <row r="12" spans="1:8" ht="28.8" x14ac:dyDescent="0.3">
      <c r="A12" s="4" t="s">
        <v>747</v>
      </c>
      <c r="B12" s="4" t="s">
        <v>135</v>
      </c>
      <c r="C12" s="4" t="s">
        <v>733</v>
      </c>
      <c r="D12" s="4" t="s">
        <v>740</v>
      </c>
      <c r="E12" s="4" t="s">
        <v>748</v>
      </c>
      <c r="F12" s="4" t="s">
        <v>66</v>
      </c>
      <c r="G12" s="4" t="s">
        <v>749</v>
      </c>
      <c r="H12" s="4"/>
    </row>
    <row r="13" spans="1:8" x14ac:dyDescent="0.3">
      <c r="A13" s="4" t="s">
        <v>750</v>
      </c>
      <c r="B13" s="4" t="s">
        <v>751</v>
      </c>
      <c r="C13" s="4" t="s">
        <v>733</v>
      </c>
      <c r="D13" s="4" t="s">
        <v>66</v>
      </c>
      <c r="E13" s="4" t="s">
        <v>66</v>
      </c>
      <c r="F13" s="4" t="s">
        <v>66</v>
      </c>
      <c r="G13" s="4" t="s">
        <v>752</v>
      </c>
      <c r="H13" s="4"/>
    </row>
    <row r="14" spans="1:8" x14ac:dyDescent="0.3">
      <c r="A14" s="4" t="s">
        <v>753</v>
      </c>
      <c r="B14" s="4" t="s">
        <v>751</v>
      </c>
      <c r="C14" s="4" t="s">
        <v>733</v>
      </c>
      <c r="D14" s="4" t="s">
        <v>66</v>
      </c>
      <c r="E14" s="4" t="s">
        <v>66</v>
      </c>
      <c r="F14" s="4" t="s">
        <v>66</v>
      </c>
      <c r="G14" s="4" t="s">
        <v>754</v>
      </c>
      <c r="H14" s="4"/>
    </row>
    <row r="15" spans="1:8" x14ac:dyDescent="0.3">
      <c r="A15" s="4" t="s">
        <v>755</v>
      </c>
      <c r="B15" s="4" t="s">
        <v>144</v>
      </c>
      <c r="C15" s="4" t="s">
        <v>733</v>
      </c>
      <c r="D15" s="4" t="s">
        <v>66</v>
      </c>
      <c r="E15" s="4" t="s">
        <v>66</v>
      </c>
      <c r="F15" s="4" t="s">
        <v>548</v>
      </c>
      <c r="G15" s="4" t="s">
        <v>756</v>
      </c>
      <c r="H15" s="4" t="s">
        <v>1235</v>
      </c>
    </row>
    <row r="16" spans="1:8" x14ac:dyDescent="0.3">
      <c r="A16" s="4" t="s">
        <v>757</v>
      </c>
      <c r="B16" s="4" t="s">
        <v>758</v>
      </c>
      <c r="C16" s="4" t="s">
        <v>733</v>
      </c>
      <c r="D16" s="4" t="s">
        <v>66</v>
      </c>
      <c r="E16" s="4" t="s">
        <v>66</v>
      </c>
      <c r="F16" s="4" t="s">
        <v>66</v>
      </c>
      <c r="G16" s="4" t="s">
        <v>759</v>
      </c>
      <c r="H16" s="4"/>
    </row>
    <row r="17" spans="1:8" x14ac:dyDescent="0.3">
      <c r="A17" s="4" t="s">
        <v>760</v>
      </c>
      <c r="B17" s="4" t="s">
        <v>138</v>
      </c>
      <c r="C17" s="4" t="s">
        <v>733</v>
      </c>
      <c r="D17" s="4" t="s">
        <v>66</v>
      </c>
      <c r="E17" s="4" t="s">
        <v>66</v>
      </c>
      <c r="F17" s="4" t="s">
        <v>66</v>
      </c>
      <c r="G17" s="4" t="s">
        <v>761</v>
      </c>
      <c r="H17" s="4"/>
    </row>
    <row r="18" spans="1:8" x14ac:dyDescent="0.3">
      <c r="A18" s="4" t="s">
        <v>762</v>
      </c>
      <c r="B18" s="4" t="s">
        <v>138</v>
      </c>
      <c r="C18" s="4" t="s">
        <v>763</v>
      </c>
      <c r="D18" s="4" t="s">
        <v>66</v>
      </c>
      <c r="E18" s="4" t="s">
        <v>66</v>
      </c>
      <c r="F18" s="4" t="s">
        <v>66</v>
      </c>
      <c r="G18" s="4" t="s">
        <v>764</v>
      </c>
      <c r="H18" s="4"/>
    </row>
    <row r="19" spans="1:8" x14ac:dyDescent="0.3">
      <c r="A19" s="4" t="s">
        <v>765</v>
      </c>
      <c r="B19" s="4" t="s">
        <v>122</v>
      </c>
      <c r="C19" s="4" t="s">
        <v>733</v>
      </c>
      <c r="D19" s="4" t="s">
        <v>766</v>
      </c>
      <c r="E19" s="4" t="s">
        <v>66</v>
      </c>
      <c r="F19" s="4" t="s">
        <v>66</v>
      </c>
      <c r="G19" s="4" t="s">
        <v>767</v>
      </c>
      <c r="H19" s="4"/>
    </row>
    <row r="20" spans="1:8" x14ac:dyDescent="0.3">
      <c r="A20" s="4" t="s">
        <v>768</v>
      </c>
      <c r="B20" s="4" t="s">
        <v>144</v>
      </c>
      <c r="C20" s="4" t="s">
        <v>733</v>
      </c>
      <c r="D20" s="4" t="s">
        <v>66</v>
      </c>
      <c r="E20" s="4" t="s">
        <v>66</v>
      </c>
      <c r="F20" s="4" t="s">
        <v>548</v>
      </c>
      <c r="G20" s="4" t="s">
        <v>769</v>
      </c>
      <c r="H20" s="4" t="s">
        <v>1235</v>
      </c>
    </row>
    <row r="21" spans="1:8" ht="28.8" x14ac:dyDescent="0.3">
      <c r="A21" s="4" t="s">
        <v>770</v>
      </c>
      <c r="B21" s="4" t="s">
        <v>739</v>
      </c>
      <c r="C21" s="4" t="s">
        <v>733</v>
      </c>
      <c r="D21" s="4" t="s">
        <v>771</v>
      </c>
      <c r="E21" s="4" t="s">
        <v>772</v>
      </c>
      <c r="F21" s="4" t="s">
        <v>66</v>
      </c>
      <c r="G21" s="4" t="s">
        <v>1215</v>
      </c>
      <c r="H21" s="4"/>
    </row>
    <row r="22" spans="1:8" x14ac:dyDescent="0.3">
      <c r="A22" s="4" t="s">
        <v>774</v>
      </c>
      <c r="B22" s="4" t="s">
        <v>150</v>
      </c>
      <c r="C22" s="4" t="s">
        <v>733</v>
      </c>
      <c r="D22" s="4" t="s">
        <v>775</v>
      </c>
      <c r="E22" s="4" t="s">
        <v>776</v>
      </c>
      <c r="F22" s="4" t="s">
        <v>66</v>
      </c>
      <c r="G22" s="4" t="s">
        <v>777</v>
      </c>
      <c r="H22" s="4"/>
    </row>
    <row r="23" spans="1:8" x14ac:dyDescent="0.3">
      <c r="A23" s="4" t="s">
        <v>778</v>
      </c>
      <c r="B23" s="4" t="s">
        <v>141</v>
      </c>
      <c r="C23" s="4" t="s">
        <v>733</v>
      </c>
      <c r="D23" s="4" t="s">
        <v>779</v>
      </c>
      <c r="E23" s="4" t="s">
        <v>780</v>
      </c>
      <c r="F23" s="4" t="s">
        <v>66</v>
      </c>
      <c r="G23" s="4" t="s">
        <v>781</v>
      </c>
      <c r="H23" s="4"/>
    </row>
    <row r="24" spans="1:8" x14ac:dyDescent="0.3">
      <c r="A24" s="4" t="s">
        <v>478</v>
      </c>
      <c r="B24" s="4" t="s">
        <v>150</v>
      </c>
      <c r="C24" s="4" t="s">
        <v>733</v>
      </c>
      <c r="D24" s="4" t="s">
        <v>782</v>
      </c>
      <c r="E24" s="4" t="s">
        <v>783</v>
      </c>
      <c r="F24" s="4" t="s">
        <v>66</v>
      </c>
      <c r="G24" s="4" t="s">
        <v>784</v>
      </c>
      <c r="H24" s="4"/>
    </row>
    <row r="25" spans="1:8" x14ac:dyDescent="0.3">
      <c r="A25" s="4" t="s">
        <v>481</v>
      </c>
      <c r="B25" s="4" t="s">
        <v>141</v>
      </c>
      <c r="C25" s="4" t="s">
        <v>733</v>
      </c>
      <c r="D25" s="4" t="s">
        <v>779</v>
      </c>
      <c r="E25" s="4" t="s">
        <v>785</v>
      </c>
      <c r="F25" s="4" t="s">
        <v>66</v>
      </c>
      <c r="G25" s="4" t="s">
        <v>786</v>
      </c>
      <c r="H25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>
      <pane ySplit="6" topLeftCell="A7" activePane="bottomLeft" state="frozen"/>
      <selection pane="bottomLeft" activeCell="E8" sqref="E8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49.77734375" customWidth="1"/>
    <col min="6" max="6" width="30" customWidth="1"/>
    <col min="7" max="7" width="58" customWidth="1"/>
    <col min="8" max="8" width="45.33203125" customWidth="1"/>
  </cols>
  <sheetData>
    <row r="1" spans="1:8" ht="18" x14ac:dyDescent="0.35">
      <c r="A1" s="6" t="s">
        <v>48</v>
      </c>
      <c r="B1" s="2" t="s">
        <v>787</v>
      </c>
    </row>
    <row r="2" spans="1:8" x14ac:dyDescent="0.3">
      <c r="A2" s="81" t="s">
        <v>788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789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350</v>
      </c>
      <c r="F7" s="4" t="s">
        <v>66</v>
      </c>
      <c r="G7" s="4" t="s">
        <v>790</v>
      </c>
      <c r="H7" s="4" t="s">
        <v>1232</v>
      </c>
    </row>
    <row r="8" spans="1:8" x14ac:dyDescent="0.3">
      <c r="A8" s="4" t="s">
        <v>631</v>
      </c>
      <c r="B8" s="4" t="s">
        <v>116</v>
      </c>
      <c r="C8" s="4" t="s">
        <v>733</v>
      </c>
      <c r="D8" s="4" t="s">
        <v>66</v>
      </c>
      <c r="E8" s="4" t="s">
        <v>791</v>
      </c>
      <c r="F8" s="4" t="s">
        <v>792</v>
      </c>
      <c r="G8" s="4" t="s">
        <v>793</v>
      </c>
      <c r="H8" s="4" t="s">
        <v>1237</v>
      </c>
    </row>
    <row r="9" spans="1:8" x14ac:dyDescent="0.3">
      <c r="A9" s="4" t="s">
        <v>794</v>
      </c>
      <c r="B9" s="4" t="s">
        <v>147</v>
      </c>
      <c r="C9" s="4" t="s">
        <v>733</v>
      </c>
      <c r="D9" s="4" t="s">
        <v>66</v>
      </c>
      <c r="E9" s="4" t="s">
        <v>66</v>
      </c>
      <c r="F9" s="4" t="s">
        <v>795</v>
      </c>
      <c r="G9" s="4" t="s">
        <v>796</v>
      </c>
      <c r="H9" s="4" t="s">
        <v>1238</v>
      </c>
    </row>
    <row r="10" spans="1:8" x14ac:dyDescent="0.3">
      <c r="A10" s="4" t="s">
        <v>797</v>
      </c>
      <c r="B10" s="4" t="s">
        <v>147</v>
      </c>
      <c r="C10" s="4" t="s">
        <v>733</v>
      </c>
      <c r="D10" s="4" t="s">
        <v>66</v>
      </c>
      <c r="E10" s="4" t="s">
        <v>66</v>
      </c>
      <c r="F10" s="4" t="s">
        <v>798</v>
      </c>
      <c r="G10" s="4" t="s">
        <v>799</v>
      </c>
      <c r="H10" s="4" t="s">
        <v>1239</v>
      </c>
    </row>
    <row r="11" spans="1:8" x14ac:dyDescent="0.3">
      <c r="A11" s="4" t="s">
        <v>218</v>
      </c>
      <c r="B11" s="4" t="s">
        <v>800</v>
      </c>
      <c r="C11" s="4" t="s">
        <v>733</v>
      </c>
      <c r="D11" s="4" t="s">
        <v>66</v>
      </c>
      <c r="E11" s="4" t="s">
        <v>66</v>
      </c>
      <c r="F11" s="4" t="s">
        <v>66</v>
      </c>
      <c r="G11" s="4" t="s">
        <v>801</v>
      </c>
      <c r="H11" s="4"/>
    </row>
    <row r="12" spans="1:8" x14ac:dyDescent="0.3">
      <c r="A12" s="4" t="s">
        <v>802</v>
      </c>
      <c r="B12" s="4" t="s">
        <v>135</v>
      </c>
      <c r="C12" s="4" t="s">
        <v>733</v>
      </c>
      <c r="D12" s="4" t="s">
        <v>740</v>
      </c>
      <c r="E12" s="4" t="s">
        <v>803</v>
      </c>
      <c r="F12" s="4" t="s">
        <v>66</v>
      </c>
      <c r="G12" s="4" t="s">
        <v>804</v>
      </c>
      <c r="H12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>
      <pane ySplit="6" topLeftCell="A7" activePane="bottomLeft" state="frozen"/>
      <selection pane="bottomLeft" activeCell="E8" sqref="E8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52</v>
      </c>
      <c r="B1" s="2" t="s">
        <v>805</v>
      </c>
    </row>
    <row r="2" spans="1:8" x14ac:dyDescent="0.3">
      <c r="A2" s="81" t="s">
        <v>806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807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351</v>
      </c>
      <c r="F7" s="4" t="s">
        <v>66</v>
      </c>
      <c r="G7" s="4" t="s">
        <v>808</v>
      </c>
      <c r="H7" s="4" t="s">
        <v>1232</v>
      </c>
    </row>
    <row r="8" spans="1:8" ht="43.2" x14ac:dyDescent="0.3">
      <c r="A8" s="4" t="s">
        <v>634</v>
      </c>
      <c r="B8" s="4" t="s">
        <v>116</v>
      </c>
      <c r="C8" s="4" t="s">
        <v>733</v>
      </c>
      <c r="D8" s="4" t="s">
        <v>66</v>
      </c>
      <c r="E8" s="4" t="s">
        <v>1221</v>
      </c>
      <c r="F8" s="4" t="s">
        <v>809</v>
      </c>
      <c r="G8" s="4" t="s">
        <v>810</v>
      </c>
      <c r="H8" s="4" t="s">
        <v>1240</v>
      </c>
    </row>
    <row r="9" spans="1:8" x14ac:dyDescent="0.3">
      <c r="A9" s="4" t="s">
        <v>221</v>
      </c>
      <c r="B9" s="4" t="s">
        <v>758</v>
      </c>
      <c r="C9" s="4" t="s">
        <v>733</v>
      </c>
      <c r="D9" s="4" t="s">
        <v>66</v>
      </c>
      <c r="E9" s="4" t="s">
        <v>1220</v>
      </c>
      <c r="F9" s="4" t="s">
        <v>66</v>
      </c>
      <c r="G9" s="4" t="s">
        <v>811</v>
      </c>
      <c r="H9" s="4" t="s">
        <v>1233</v>
      </c>
    </row>
    <row r="10" spans="1:8" x14ac:dyDescent="0.3">
      <c r="A10" s="4" t="s">
        <v>812</v>
      </c>
      <c r="B10" s="4" t="s">
        <v>144</v>
      </c>
      <c r="C10" s="4" t="s">
        <v>733</v>
      </c>
      <c r="D10" s="4" t="s">
        <v>66</v>
      </c>
      <c r="E10" s="4" t="s">
        <v>1220</v>
      </c>
      <c r="F10" s="4" t="s">
        <v>548</v>
      </c>
      <c r="G10" s="4" t="s">
        <v>813</v>
      </c>
      <c r="H10" s="4" t="s">
        <v>1241</v>
      </c>
    </row>
    <row r="11" spans="1:8" x14ac:dyDescent="0.3">
      <c r="A11" s="4" t="s">
        <v>814</v>
      </c>
      <c r="B11" s="4" t="s">
        <v>122</v>
      </c>
      <c r="C11" s="4" t="s">
        <v>733</v>
      </c>
      <c r="D11" s="4" t="s">
        <v>766</v>
      </c>
      <c r="E11" s="4" t="s">
        <v>66</v>
      </c>
      <c r="F11" s="4" t="s">
        <v>66</v>
      </c>
      <c r="G11" s="4" t="s">
        <v>815</v>
      </c>
      <c r="H11" s="4"/>
    </row>
    <row r="12" spans="1:8" x14ac:dyDescent="0.3">
      <c r="A12" s="4" t="s">
        <v>816</v>
      </c>
      <c r="B12" s="4" t="s">
        <v>122</v>
      </c>
      <c r="C12" s="4" t="s">
        <v>733</v>
      </c>
      <c r="D12" s="4" t="s">
        <v>766</v>
      </c>
      <c r="E12" s="4" t="s">
        <v>66</v>
      </c>
      <c r="F12" s="4" t="s">
        <v>66</v>
      </c>
      <c r="G12" s="4" t="s">
        <v>817</v>
      </c>
      <c r="H12" s="4"/>
    </row>
    <row r="13" spans="1:8" x14ac:dyDescent="0.3">
      <c r="A13" s="4" t="s">
        <v>818</v>
      </c>
      <c r="B13" s="4" t="s">
        <v>122</v>
      </c>
      <c r="C13" s="4" t="s">
        <v>733</v>
      </c>
      <c r="D13" s="4" t="s">
        <v>766</v>
      </c>
      <c r="E13" s="4" t="s">
        <v>66</v>
      </c>
      <c r="F13" s="4" t="s">
        <v>66</v>
      </c>
      <c r="G13" s="4" t="s">
        <v>819</v>
      </c>
      <c r="H13" s="4"/>
    </row>
    <row r="14" spans="1:8" x14ac:dyDescent="0.3">
      <c r="A14" s="4" t="s">
        <v>223</v>
      </c>
      <c r="B14" s="4" t="s">
        <v>820</v>
      </c>
      <c r="C14" s="4" t="s">
        <v>733</v>
      </c>
      <c r="D14" s="4" t="s">
        <v>66</v>
      </c>
      <c r="E14" s="4" t="s">
        <v>66</v>
      </c>
      <c r="F14" s="4" t="s">
        <v>66</v>
      </c>
      <c r="G14" s="4" t="s">
        <v>821</v>
      </c>
      <c r="H14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topLeftCell="F1" workbookViewId="0">
      <pane ySplit="6" topLeftCell="A7" activePane="bottomLeft" state="frozen"/>
      <selection pane="bottomLeft" activeCell="A4" sqref="A4:G4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52.88671875" customWidth="1"/>
    <col min="6" max="6" width="30" customWidth="1"/>
    <col min="7" max="7" width="167.109375" customWidth="1"/>
    <col min="8" max="8" width="45.33203125" customWidth="1"/>
  </cols>
  <sheetData>
    <row r="1" spans="1:8" ht="18" x14ac:dyDescent="0.35">
      <c r="A1" s="6" t="s">
        <v>55</v>
      </c>
      <c r="B1" s="2" t="s">
        <v>822</v>
      </c>
    </row>
    <row r="2" spans="1:8" x14ac:dyDescent="0.3">
      <c r="A2" s="81" t="s">
        <v>823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1214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352</v>
      </c>
      <c r="F7" s="4" t="s">
        <v>66</v>
      </c>
      <c r="G7" s="4" t="s">
        <v>1216</v>
      </c>
      <c r="H7" s="4" t="s">
        <v>1232</v>
      </c>
    </row>
    <row r="8" spans="1:8" ht="28.8" x14ac:dyDescent="0.3">
      <c r="A8" s="4" t="s">
        <v>824</v>
      </c>
      <c r="B8" s="4" t="s">
        <v>147</v>
      </c>
      <c r="C8" s="4" t="s">
        <v>733</v>
      </c>
      <c r="D8" s="4" t="s">
        <v>66</v>
      </c>
      <c r="E8" s="4" t="s">
        <v>1222</v>
      </c>
      <c r="F8" s="4" t="s">
        <v>66</v>
      </c>
      <c r="G8" s="4" t="s">
        <v>825</v>
      </c>
      <c r="H8" s="4" t="s">
        <v>1233</v>
      </c>
    </row>
    <row r="9" spans="1:8" x14ac:dyDescent="0.3">
      <c r="A9" s="4" t="s">
        <v>738</v>
      </c>
      <c r="B9" s="4" t="s">
        <v>739</v>
      </c>
      <c r="C9" s="4" t="s">
        <v>733</v>
      </c>
      <c r="D9" s="4" t="s">
        <v>740</v>
      </c>
      <c r="E9" s="4" t="s">
        <v>1220</v>
      </c>
      <c r="F9" s="4" t="s">
        <v>66</v>
      </c>
      <c r="G9" s="4" t="s">
        <v>826</v>
      </c>
      <c r="H9" s="4" t="s">
        <v>1233</v>
      </c>
    </row>
    <row r="10" spans="1:8" x14ac:dyDescent="0.3">
      <c r="A10" s="4" t="s">
        <v>827</v>
      </c>
      <c r="B10" s="4" t="s">
        <v>743</v>
      </c>
      <c r="C10" s="4" t="s">
        <v>733</v>
      </c>
      <c r="D10" s="4" t="s">
        <v>66</v>
      </c>
      <c r="E10" s="4" t="s">
        <v>66</v>
      </c>
      <c r="F10" s="4" t="s">
        <v>66</v>
      </c>
      <c r="G10" s="4" t="s">
        <v>744</v>
      </c>
      <c r="H10" s="4"/>
    </row>
    <row r="11" spans="1:8" x14ac:dyDescent="0.3">
      <c r="A11" s="4" t="s">
        <v>631</v>
      </c>
      <c r="B11" s="4" t="s">
        <v>116</v>
      </c>
      <c r="C11" s="4" t="s">
        <v>763</v>
      </c>
      <c r="D11" s="4" t="s">
        <v>66</v>
      </c>
      <c r="E11" s="4" t="s">
        <v>66</v>
      </c>
      <c r="F11" s="4" t="s">
        <v>792</v>
      </c>
      <c r="G11" s="4" t="s">
        <v>828</v>
      </c>
      <c r="H11" s="4" t="s">
        <v>1237</v>
      </c>
    </row>
    <row r="12" spans="1:8" x14ac:dyDescent="0.3">
      <c r="A12" s="4" t="s">
        <v>745</v>
      </c>
      <c r="B12" s="4" t="s">
        <v>739</v>
      </c>
      <c r="C12" s="4" t="s">
        <v>733</v>
      </c>
      <c r="D12" s="4" t="s">
        <v>66</v>
      </c>
      <c r="E12" s="4" t="s">
        <v>66</v>
      </c>
      <c r="F12" s="4" t="s">
        <v>681</v>
      </c>
      <c r="G12" s="4" t="s">
        <v>829</v>
      </c>
      <c r="H12" s="4" t="s">
        <v>1234</v>
      </c>
    </row>
    <row r="13" spans="1:8" x14ac:dyDescent="0.3">
      <c r="A13" s="4" t="s">
        <v>215</v>
      </c>
      <c r="B13" s="4" t="s">
        <v>820</v>
      </c>
      <c r="C13" s="4" t="s">
        <v>733</v>
      </c>
      <c r="D13" s="4" t="s">
        <v>66</v>
      </c>
      <c r="E13" s="4" t="s">
        <v>66</v>
      </c>
      <c r="F13" s="4" t="s">
        <v>66</v>
      </c>
      <c r="G13" s="4" t="s">
        <v>830</v>
      </c>
      <c r="H13" s="4"/>
    </row>
    <row r="14" spans="1:8" x14ac:dyDescent="0.3">
      <c r="A14" s="4" t="s">
        <v>747</v>
      </c>
      <c r="B14" s="4" t="s">
        <v>135</v>
      </c>
      <c r="C14" s="4" t="s">
        <v>733</v>
      </c>
      <c r="D14" s="4" t="s">
        <v>740</v>
      </c>
      <c r="E14" s="4" t="s">
        <v>831</v>
      </c>
      <c r="F14" s="4" t="s">
        <v>66</v>
      </c>
      <c r="G14" s="4" t="s">
        <v>832</v>
      </c>
      <c r="H14" s="4"/>
    </row>
    <row r="15" spans="1:8" x14ac:dyDescent="0.3">
      <c r="A15" s="4" t="s">
        <v>833</v>
      </c>
      <c r="B15" s="4" t="s">
        <v>758</v>
      </c>
      <c r="C15" s="4" t="s">
        <v>733</v>
      </c>
      <c r="D15" s="4" t="s">
        <v>66</v>
      </c>
      <c r="E15" s="4" t="s">
        <v>66</v>
      </c>
      <c r="F15" s="4" t="s">
        <v>66</v>
      </c>
      <c r="G15" s="4" t="s">
        <v>759</v>
      </c>
      <c r="H15" s="4"/>
    </row>
    <row r="16" spans="1:8" x14ac:dyDescent="0.3">
      <c r="A16" s="4" t="s">
        <v>834</v>
      </c>
      <c r="B16" s="4" t="s">
        <v>144</v>
      </c>
      <c r="C16" s="4" t="s">
        <v>733</v>
      </c>
      <c r="D16" s="4" t="s">
        <v>66</v>
      </c>
      <c r="E16" s="4" t="s">
        <v>66</v>
      </c>
      <c r="F16" s="4" t="s">
        <v>548</v>
      </c>
      <c r="G16" s="4" t="s">
        <v>835</v>
      </c>
      <c r="H16" s="4" t="s">
        <v>1235</v>
      </c>
    </row>
    <row r="17" spans="1:8" x14ac:dyDescent="0.3">
      <c r="A17" s="4" t="s">
        <v>760</v>
      </c>
      <c r="B17" s="4" t="s">
        <v>138</v>
      </c>
      <c r="C17" s="4" t="s">
        <v>733</v>
      </c>
      <c r="D17" s="4" t="s">
        <v>66</v>
      </c>
      <c r="E17" s="4" t="s">
        <v>66</v>
      </c>
      <c r="F17" s="4" t="s">
        <v>66</v>
      </c>
      <c r="G17" s="4" t="s">
        <v>66</v>
      </c>
      <c r="H17" s="4"/>
    </row>
    <row r="18" spans="1:8" x14ac:dyDescent="0.3">
      <c r="A18" s="4" t="s">
        <v>762</v>
      </c>
      <c r="B18" s="4" t="s">
        <v>138</v>
      </c>
      <c r="C18" s="4" t="s">
        <v>763</v>
      </c>
      <c r="D18" s="4" t="s">
        <v>66</v>
      </c>
      <c r="E18" s="4" t="s">
        <v>66</v>
      </c>
      <c r="F18" s="4" t="s">
        <v>66</v>
      </c>
      <c r="G18" s="4" t="s">
        <v>836</v>
      </c>
      <c r="H18" s="4"/>
    </row>
    <row r="19" spans="1:8" x14ac:dyDescent="0.3">
      <c r="A19" s="4" t="s">
        <v>770</v>
      </c>
      <c r="B19" s="4" t="s">
        <v>739</v>
      </c>
      <c r="C19" s="4" t="s">
        <v>733</v>
      </c>
      <c r="D19" s="4" t="s">
        <v>771</v>
      </c>
      <c r="E19" s="4" t="s">
        <v>837</v>
      </c>
      <c r="F19" s="4" t="s">
        <v>66</v>
      </c>
      <c r="G19" s="4" t="s">
        <v>773</v>
      </c>
      <c r="H19" s="4"/>
    </row>
    <row r="20" spans="1:8" x14ac:dyDescent="0.3">
      <c r="A20" s="4" t="s">
        <v>774</v>
      </c>
      <c r="B20" s="4" t="s">
        <v>150</v>
      </c>
      <c r="C20" s="4" t="s">
        <v>733</v>
      </c>
      <c r="D20" s="4" t="s">
        <v>775</v>
      </c>
      <c r="E20" s="4" t="s">
        <v>838</v>
      </c>
      <c r="F20" s="4" t="s">
        <v>66</v>
      </c>
      <c r="G20" s="4" t="s">
        <v>777</v>
      </c>
      <c r="H20" s="4"/>
    </row>
    <row r="21" spans="1:8" x14ac:dyDescent="0.3">
      <c r="A21" s="4" t="s">
        <v>778</v>
      </c>
      <c r="B21" s="4" t="s">
        <v>141</v>
      </c>
      <c r="C21" s="4" t="s">
        <v>733</v>
      </c>
      <c r="D21" s="4" t="s">
        <v>779</v>
      </c>
      <c r="E21" s="4" t="s">
        <v>839</v>
      </c>
      <c r="F21" s="4" t="s">
        <v>66</v>
      </c>
      <c r="G21" s="4" t="s">
        <v>781</v>
      </c>
      <c r="H21" s="4"/>
    </row>
    <row r="22" spans="1:8" x14ac:dyDescent="0.3">
      <c r="A22" s="4" t="s">
        <v>478</v>
      </c>
      <c r="B22" s="4" t="s">
        <v>150</v>
      </c>
      <c r="C22" s="4" t="s">
        <v>733</v>
      </c>
      <c r="D22" s="4" t="s">
        <v>782</v>
      </c>
      <c r="E22" s="4" t="s">
        <v>840</v>
      </c>
      <c r="F22" s="4" t="s">
        <v>66</v>
      </c>
      <c r="G22" s="4" t="s">
        <v>784</v>
      </c>
      <c r="H22" s="4"/>
    </row>
    <row r="23" spans="1:8" x14ac:dyDescent="0.3">
      <c r="A23" s="4" t="s">
        <v>481</v>
      </c>
      <c r="B23" s="4" t="s">
        <v>141</v>
      </c>
      <c r="C23" s="4" t="s">
        <v>733</v>
      </c>
      <c r="D23" s="4" t="s">
        <v>779</v>
      </c>
      <c r="E23" s="4" t="s">
        <v>841</v>
      </c>
      <c r="F23" s="4" t="s">
        <v>66</v>
      </c>
      <c r="G23" s="4" t="s">
        <v>786</v>
      </c>
      <c r="H23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workbookViewId="0">
      <pane ySplit="6" topLeftCell="A7" activePane="bottomLeft" state="frozen"/>
      <selection pane="bottomLeft" activeCell="A11" sqref="A11:XFD11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57</v>
      </c>
      <c r="B1" s="2" t="s">
        <v>842</v>
      </c>
    </row>
    <row r="2" spans="1:8" x14ac:dyDescent="0.3">
      <c r="A2" s="81" t="s">
        <v>843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844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357</v>
      </c>
      <c r="B7" s="4" t="s">
        <v>116</v>
      </c>
      <c r="C7" s="4" t="s">
        <v>733</v>
      </c>
      <c r="D7" s="4" t="s">
        <v>66</v>
      </c>
      <c r="E7" s="4" t="s">
        <v>353</v>
      </c>
      <c r="F7" s="4" t="s">
        <v>845</v>
      </c>
      <c r="G7" s="4" t="s">
        <v>846</v>
      </c>
      <c r="H7" s="4" t="s">
        <v>1242</v>
      </c>
    </row>
    <row r="8" spans="1:8" x14ac:dyDescent="0.3">
      <c r="A8" s="4" t="s">
        <v>812</v>
      </c>
      <c r="B8" s="4" t="s">
        <v>144</v>
      </c>
      <c r="C8" s="4" t="s">
        <v>733</v>
      </c>
      <c r="D8" s="4" t="s">
        <v>66</v>
      </c>
      <c r="E8" s="4" t="s">
        <v>847</v>
      </c>
      <c r="F8" s="4" t="s">
        <v>548</v>
      </c>
      <c r="G8" s="4" t="s">
        <v>848</v>
      </c>
      <c r="H8" s="4" t="s">
        <v>1243</v>
      </c>
    </row>
    <row r="9" spans="1:8" x14ac:dyDescent="0.3">
      <c r="A9" s="4" t="s">
        <v>849</v>
      </c>
      <c r="B9" s="4" t="s">
        <v>129</v>
      </c>
      <c r="C9" s="4" t="s">
        <v>733</v>
      </c>
      <c r="D9" s="4" t="s">
        <v>766</v>
      </c>
      <c r="E9" s="4" t="s">
        <v>66</v>
      </c>
      <c r="F9" s="4" t="s">
        <v>66</v>
      </c>
      <c r="G9" s="4" t="s">
        <v>850</v>
      </c>
      <c r="H9" s="4"/>
    </row>
    <row r="10" spans="1:8" x14ac:dyDescent="0.3">
      <c r="A10" s="4" t="s">
        <v>851</v>
      </c>
      <c r="B10" s="4" t="s">
        <v>135</v>
      </c>
      <c r="C10" s="4" t="s">
        <v>733</v>
      </c>
      <c r="D10" s="4" t="s">
        <v>740</v>
      </c>
      <c r="E10" s="4" t="s">
        <v>66</v>
      </c>
      <c r="F10" s="4" t="s">
        <v>66</v>
      </c>
      <c r="G10" s="4" t="s">
        <v>852</v>
      </c>
      <c r="H10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61</v>
      </c>
      <c r="B1" s="2" t="s">
        <v>853</v>
      </c>
    </row>
    <row r="2" spans="1:8" x14ac:dyDescent="0.3">
      <c r="A2" s="81" t="s">
        <v>854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855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357</v>
      </c>
      <c r="B7" s="4" t="s">
        <v>116</v>
      </c>
      <c r="C7" s="4" t="s">
        <v>733</v>
      </c>
      <c r="D7" s="4" t="s">
        <v>66</v>
      </c>
      <c r="E7" s="4" t="s">
        <v>356</v>
      </c>
      <c r="F7" s="4" t="s">
        <v>845</v>
      </c>
      <c r="G7" s="4" t="s">
        <v>365</v>
      </c>
      <c r="H7" s="4" t="s">
        <v>1242</v>
      </c>
    </row>
    <row r="8" spans="1:8" x14ac:dyDescent="0.3">
      <c r="A8" s="4" t="s">
        <v>230</v>
      </c>
      <c r="B8" s="4" t="s">
        <v>758</v>
      </c>
      <c r="C8" s="4" t="s">
        <v>763</v>
      </c>
      <c r="D8" s="4" t="s">
        <v>66</v>
      </c>
      <c r="E8" s="4" t="s">
        <v>66</v>
      </c>
      <c r="F8" s="4" t="s">
        <v>66</v>
      </c>
      <c r="G8" s="4" t="s">
        <v>856</v>
      </c>
      <c r="H8" s="4"/>
    </row>
    <row r="9" spans="1:8" x14ac:dyDescent="0.3">
      <c r="A9" s="4" t="s">
        <v>719</v>
      </c>
      <c r="B9" s="4" t="s">
        <v>857</v>
      </c>
      <c r="C9" s="4" t="s">
        <v>763</v>
      </c>
      <c r="D9" s="4" t="s">
        <v>66</v>
      </c>
      <c r="E9" s="4" t="s">
        <v>66</v>
      </c>
      <c r="F9" s="4" t="s">
        <v>858</v>
      </c>
      <c r="G9" s="4" t="s">
        <v>859</v>
      </c>
      <c r="H9" s="4" t="s">
        <v>1244</v>
      </c>
    </row>
    <row r="10" spans="1:8" ht="28.8" x14ac:dyDescent="0.3">
      <c r="A10" s="4" t="s">
        <v>860</v>
      </c>
      <c r="B10" s="4" t="s">
        <v>129</v>
      </c>
      <c r="C10" s="4" t="s">
        <v>763</v>
      </c>
      <c r="D10" s="4" t="s">
        <v>66</v>
      </c>
      <c r="E10" s="4" t="s">
        <v>66</v>
      </c>
      <c r="F10" s="4" t="s">
        <v>66</v>
      </c>
      <c r="G10" s="4" t="s">
        <v>861</v>
      </c>
      <c r="H10" s="4"/>
    </row>
    <row r="11" spans="1:8" x14ac:dyDescent="0.3">
      <c r="A11" s="4" t="s">
        <v>862</v>
      </c>
      <c r="B11" s="4" t="s">
        <v>129</v>
      </c>
      <c r="C11" s="4" t="s">
        <v>763</v>
      </c>
      <c r="D11" s="4" t="s">
        <v>66</v>
      </c>
      <c r="E11" s="4" t="s">
        <v>66</v>
      </c>
      <c r="F11" s="4" t="s">
        <v>66</v>
      </c>
      <c r="G11" s="4" t="s">
        <v>863</v>
      </c>
      <c r="H11" s="4"/>
    </row>
    <row r="12" spans="1:8" x14ac:dyDescent="0.3">
      <c r="A12" s="4" t="s">
        <v>232</v>
      </c>
      <c r="B12" s="4" t="s">
        <v>864</v>
      </c>
      <c r="C12" s="4" t="s">
        <v>763</v>
      </c>
      <c r="D12" s="4" t="s">
        <v>66</v>
      </c>
      <c r="E12" s="4" t="s">
        <v>66</v>
      </c>
      <c r="F12" s="4" t="s">
        <v>66</v>
      </c>
      <c r="G12" s="4" t="s">
        <v>865</v>
      </c>
      <c r="H12" s="4"/>
    </row>
    <row r="13" spans="1:8" x14ac:dyDescent="0.3">
      <c r="A13" s="4" t="s">
        <v>234</v>
      </c>
      <c r="B13" s="4" t="s">
        <v>800</v>
      </c>
      <c r="C13" s="4" t="s">
        <v>763</v>
      </c>
      <c r="D13" s="4" t="s">
        <v>66</v>
      </c>
      <c r="E13" s="4" t="s">
        <v>66</v>
      </c>
      <c r="F13" s="4" t="s">
        <v>66</v>
      </c>
      <c r="G13" s="4" t="s">
        <v>866</v>
      </c>
      <c r="H13" s="4"/>
    </row>
    <row r="14" spans="1:8" x14ac:dyDescent="0.3">
      <c r="A14" s="4" t="s">
        <v>236</v>
      </c>
      <c r="B14" s="4" t="s">
        <v>864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867</v>
      </c>
      <c r="H14" s="4"/>
    </row>
    <row r="15" spans="1:8" x14ac:dyDescent="0.3">
      <c r="A15" s="4" t="s">
        <v>238</v>
      </c>
      <c r="B15" s="4" t="s">
        <v>864</v>
      </c>
      <c r="C15" s="4" t="s">
        <v>763</v>
      </c>
      <c r="D15" s="4" t="s">
        <v>66</v>
      </c>
      <c r="E15" s="4" t="s">
        <v>66</v>
      </c>
      <c r="F15" s="4" t="s">
        <v>66</v>
      </c>
      <c r="G15" s="4" t="s">
        <v>868</v>
      </c>
      <c r="H15" s="4"/>
    </row>
    <row r="16" spans="1:8" x14ac:dyDescent="0.3">
      <c r="A16" s="4" t="s">
        <v>869</v>
      </c>
      <c r="B16" s="4" t="s">
        <v>135</v>
      </c>
      <c r="C16" s="4" t="s">
        <v>763</v>
      </c>
      <c r="D16" s="4" t="s">
        <v>66</v>
      </c>
      <c r="E16" s="4" t="s">
        <v>66</v>
      </c>
      <c r="F16" s="4" t="s">
        <v>66</v>
      </c>
      <c r="G16" s="4" t="s">
        <v>870</v>
      </c>
      <c r="H16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"/>
  <sheetViews>
    <sheetView workbookViewId="0">
      <pane ySplit="6" topLeftCell="A7" activePane="bottomLeft" state="frozen"/>
      <selection pane="bottomLeft" activeCell="A16" sqref="A16:XFD16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65</v>
      </c>
      <c r="B1" s="2" t="s">
        <v>871</v>
      </c>
    </row>
    <row r="2" spans="1:8" x14ac:dyDescent="0.3">
      <c r="A2" s="81" t="s">
        <v>872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807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359</v>
      </c>
      <c r="F7" s="4" t="s">
        <v>66</v>
      </c>
      <c r="G7" s="4" t="s">
        <v>66</v>
      </c>
      <c r="H7" s="4" t="s">
        <v>1232</v>
      </c>
    </row>
    <row r="8" spans="1:8" ht="28.8" x14ac:dyDescent="0.3">
      <c r="A8" s="4" t="s">
        <v>357</v>
      </c>
      <c r="B8" s="4" t="s">
        <v>116</v>
      </c>
      <c r="C8" s="4" t="s">
        <v>733</v>
      </c>
      <c r="D8" s="4" t="s">
        <v>66</v>
      </c>
      <c r="E8" s="4" t="s">
        <v>873</v>
      </c>
      <c r="F8" s="4" t="s">
        <v>845</v>
      </c>
      <c r="G8" s="4" t="s">
        <v>66</v>
      </c>
      <c r="H8" s="4" t="s">
        <v>1245</v>
      </c>
    </row>
    <row r="9" spans="1:8" x14ac:dyDescent="0.3">
      <c r="A9" s="4" t="s">
        <v>225</v>
      </c>
      <c r="B9" s="4" t="s">
        <v>820</v>
      </c>
      <c r="C9" s="4" t="s">
        <v>733</v>
      </c>
      <c r="D9" s="4" t="s">
        <v>66</v>
      </c>
      <c r="E9" s="4" t="s">
        <v>66</v>
      </c>
      <c r="F9" s="4" t="s">
        <v>66</v>
      </c>
      <c r="G9" s="4" t="s">
        <v>874</v>
      </c>
      <c r="H9" s="4"/>
    </row>
    <row r="10" spans="1:8" x14ac:dyDescent="0.3">
      <c r="A10" s="4" t="s">
        <v>812</v>
      </c>
      <c r="B10" s="4" t="s">
        <v>144</v>
      </c>
      <c r="C10" s="4" t="s">
        <v>763</v>
      </c>
      <c r="D10" s="4" t="s">
        <v>66</v>
      </c>
      <c r="E10" s="4" t="s">
        <v>66</v>
      </c>
      <c r="F10" s="4" t="s">
        <v>548</v>
      </c>
      <c r="G10" s="4" t="s">
        <v>875</v>
      </c>
      <c r="H10" s="4" t="s">
        <v>1235</v>
      </c>
    </row>
    <row r="11" spans="1:8" x14ac:dyDescent="0.3">
      <c r="A11" s="4" t="s">
        <v>713</v>
      </c>
      <c r="B11" s="4" t="s">
        <v>876</v>
      </c>
      <c r="C11" s="4" t="s">
        <v>763</v>
      </c>
      <c r="D11" s="4" t="s">
        <v>66</v>
      </c>
      <c r="E11" s="4" t="s">
        <v>66</v>
      </c>
      <c r="F11" s="4" t="s">
        <v>877</v>
      </c>
      <c r="G11" s="4" t="s">
        <v>878</v>
      </c>
      <c r="H11" s="4" t="s">
        <v>1246</v>
      </c>
    </row>
    <row r="12" spans="1:8" x14ac:dyDescent="0.3">
      <c r="A12" s="4" t="s">
        <v>879</v>
      </c>
      <c r="B12" s="4" t="s">
        <v>739</v>
      </c>
      <c r="C12" s="4" t="s">
        <v>763</v>
      </c>
      <c r="D12" s="4" t="s">
        <v>66</v>
      </c>
      <c r="E12" s="4" t="s">
        <v>66</v>
      </c>
      <c r="F12" s="4" t="s">
        <v>880</v>
      </c>
      <c r="G12" s="4" t="s">
        <v>881</v>
      </c>
      <c r="H12" s="4" t="s">
        <v>1247</v>
      </c>
    </row>
    <row r="13" spans="1:8" x14ac:dyDescent="0.3">
      <c r="A13" s="4" t="s">
        <v>882</v>
      </c>
      <c r="B13" s="4" t="s">
        <v>739</v>
      </c>
      <c r="C13" s="4" t="s">
        <v>763</v>
      </c>
      <c r="D13" s="4" t="s">
        <v>66</v>
      </c>
      <c r="E13" s="4" t="s">
        <v>66</v>
      </c>
      <c r="F13" s="4" t="s">
        <v>883</v>
      </c>
      <c r="G13" s="4" t="s">
        <v>884</v>
      </c>
      <c r="H13" s="4" t="s">
        <v>1248</v>
      </c>
    </row>
    <row r="14" spans="1:8" x14ac:dyDescent="0.3">
      <c r="A14" s="4" t="s">
        <v>885</v>
      </c>
      <c r="B14" s="4" t="s">
        <v>116</v>
      </c>
      <c r="C14" s="4" t="s">
        <v>763</v>
      </c>
      <c r="D14" s="4" t="s">
        <v>66</v>
      </c>
      <c r="E14" s="4" t="s">
        <v>66</v>
      </c>
      <c r="F14" s="4" t="s">
        <v>886</v>
      </c>
      <c r="G14" s="4" t="s">
        <v>887</v>
      </c>
      <c r="H14" s="4" t="s">
        <v>1249</v>
      </c>
    </row>
    <row r="15" spans="1:8" x14ac:dyDescent="0.3">
      <c r="A15" s="4" t="s">
        <v>716</v>
      </c>
      <c r="B15" s="4" t="s">
        <v>876</v>
      </c>
      <c r="C15" s="4" t="s">
        <v>763</v>
      </c>
      <c r="D15" s="4" t="s">
        <v>66</v>
      </c>
      <c r="E15" s="4" t="s">
        <v>66</v>
      </c>
      <c r="F15" s="4" t="s">
        <v>888</v>
      </c>
      <c r="G15" s="4" t="s">
        <v>889</v>
      </c>
      <c r="H15" s="4" t="s">
        <v>1250</v>
      </c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"/>
  <sheetViews>
    <sheetView workbookViewId="0">
      <pane ySplit="6" topLeftCell="A7" activePane="bottomLeft" state="frozen"/>
      <selection pane="bottomLeft" activeCell="E37" sqref="E37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67</v>
      </c>
      <c r="B1" s="2" t="s">
        <v>890</v>
      </c>
    </row>
    <row r="2" spans="1:8" x14ac:dyDescent="0.3">
      <c r="A2" s="81" t="s">
        <v>891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807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360</v>
      </c>
      <c r="F7" s="4" t="s">
        <v>66</v>
      </c>
      <c r="G7" s="4" t="s">
        <v>66</v>
      </c>
      <c r="H7" s="4" t="s">
        <v>1232</v>
      </c>
    </row>
    <row r="8" spans="1:8" ht="28.8" x14ac:dyDescent="0.3">
      <c r="A8" s="4" t="s">
        <v>357</v>
      </c>
      <c r="B8" s="4" t="s">
        <v>116</v>
      </c>
      <c r="C8" s="4" t="s">
        <v>733</v>
      </c>
      <c r="D8" s="4" t="s">
        <v>66</v>
      </c>
      <c r="E8" s="4" t="s">
        <v>892</v>
      </c>
      <c r="F8" s="4" t="s">
        <v>845</v>
      </c>
      <c r="G8" s="4" t="s">
        <v>66</v>
      </c>
      <c r="H8" s="4" t="s">
        <v>1245</v>
      </c>
    </row>
    <row r="9" spans="1:8" x14ac:dyDescent="0.3">
      <c r="A9" s="4" t="s">
        <v>893</v>
      </c>
      <c r="B9" s="4" t="s">
        <v>876</v>
      </c>
      <c r="C9" s="4" t="s">
        <v>733</v>
      </c>
      <c r="D9" s="4" t="s">
        <v>66</v>
      </c>
      <c r="E9" s="4" t="s">
        <v>66</v>
      </c>
      <c r="F9" s="4" t="s">
        <v>894</v>
      </c>
      <c r="G9" s="4" t="s">
        <v>895</v>
      </c>
      <c r="H9" s="4" t="s">
        <v>1251</v>
      </c>
    </row>
    <row r="10" spans="1:8" x14ac:dyDescent="0.3">
      <c r="A10" s="4" t="s">
        <v>896</v>
      </c>
      <c r="B10" s="4" t="s">
        <v>876</v>
      </c>
      <c r="C10" s="4" t="s">
        <v>733</v>
      </c>
      <c r="D10" s="4" t="s">
        <v>66</v>
      </c>
      <c r="E10" s="4" t="s">
        <v>66</v>
      </c>
      <c r="F10" s="4" t="s">
        <v>894</v>
      </c>
      <c r="G10" s="4" t="s">
        <v>897</v>
      </c>
      <c r="H10" s="4" t="s">
        <v>1251</v>
      </c>
    </row>
    <row r="11" spans="1:8" ht="28.8" x14ac:dyDescent="0.3">
      <c r="A11" s="4" t="s">
        <v>722</v>
      </c>
      <c r="B11" s="4" t="s">
        <v>144</v>
      </c>
      <c r="C11" s="4" t="s">
        <v>763</v>
      </c>
      <c r="D11" s="4" t="s">
        <v>66</v>
      </c>
      <c r="E11" s="4" t="s">
        <v>66</v>
      </c>
      <c r="F11" s="4" t="s">
        <v>898</v>
      </c>
      <c r="G11" s="4" t="s">
        <v>899</v>
      </c>
      <c r="H11" s="4" t="s">
        <v>1252</v>
      </c>
    </row>
    <row r="12" spans="1:8" x14ac:dyDescent="0.3">
      <c r="A12" s="4" t="s">
        <v>900</v>
      </c>
      <c r="B12" s="4" t="s">
        <v>144</v>
      </c>
      <c r="C12" s="4" t="s">
        <v>733</v>
      </c>
      <c r="D12" s="4" t="s">
        <v>66</v>
      </c>
      <c r="E12" s="4" t="s">
        <v>66</v>
      </c>
      <c r="F12" s="4" t="s">
        <v>548</v>
      </c>
      <c r="G12" s="4" t="s">
        <v>901</v>
      </c>
      <c r="H12" s="4" t="s">
        <v>1235</v>
      </c>
    </row>
    <row r="13" spans="1:8" x14ac:dyDescent="0.3">
      <c r="A13" s="4" t="s">
        <v>902</v>
      </c>
      <c r="B13" s="4" t="s">
        <v>857</v>
      </c>
      <c r="C13" s="4" t="s">
        <v>763</v>
      </c>
      <c r="D13" s="4" t="s">
        <v>66</v>
      </c>
      <c r="E13" s="4" t="s">
        <v>66</v>
      </c>
      <c r="F13" s="4" t="s">
        <v>903</v>
      </c>
      <c r="G13" s="4" t="s">
        <v>904</v>
      </c>
      <c r="H13" s="4" t="s">
        <v>1253</v>
      </c>
    </row>
    <row r="14" spans="1:8" x14ac:dyDescent="0.3">
      <c r="A14" s="4" t="s">
        <v>905</v>
      </c>
      <c r="B14" s="4" t="s">
        <v>739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906</v>
      </c>
      <c r="H14" s="4"/>
    </row>
    <row r="15" spans="1:8" x14ac:dyDescent="0.3">
      <c r="A15" s="4" t="s">
        <v>851</v>
      </c>
      <c r="B15" s="4" t="s">
        <v>135</v>
      </c>
      <c r="C15" s="4" t="s">
        <v>733</v>
      </c>
      <c r="D15" s="4" t="s">
        <v>740</v>
      </c>
      <c r="E15" s="4" t="s">
        <v>66</v>
      </c>
      <c r="F15" s="4" t="s">
        <v>66</v>
      </c>
      <c r="G15" s="4" t="s">
        <v>66</v>
      </c>
      <c r="H15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workbookViewId="0">
      <pane ySplit="6" topLeftCell="A7" activePane="bottomLeft" state="frozen"/>
      <selection pane="bottomLeft" activeCell="D48" sqref="D48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68</v>
      </c>
      <c r="B1" s="2" t="s">
        <v>907</v>
      </c>
    </row>
    <row r="2" spans="1:8" x14ac:dyDescent="0.3">
      <c r="A2" s="81" t="s">
        <v>908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844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357</v>
      </c>
      <c r="B7" s="4" t="s">
        <v>116</v>
      </c>
      <c r="C7" s="4" t="s">
        <v>733</v>
      </c>
      <c r="D7" s="4" t="s">
        <v>66</v>
      </c>
      <c r="E7" s="4" t="s">
        <v>361</v>
      </c>
      <c r="F7" s="4" t="s">
        <v>845</v>
      </c>
      <c r="G7" s="4" t="s">
        <v>846</v>
      </c>
      <c r="H7" s="4" t="s">
        <v>1242</v>
      </c>
    </row>
    <row r="8" spans="1:8" x14ac:dyDescent="0.3">
      <c r="A8" s="4" t="s">
        <v>909</v>
      </c>
      <c r="B8" s="4" t="s">
        <v>820</v>
      </c>
      <c r="C8" s="4" t="s">
        <v>733</v>
      </c>
      <c r="D8" s="4" t="s">
        <v>66</v>
      </c>
      <c r="E8" s="4" t="s">
        <v>847</v>
      </c>
      <c r="F8" s="4" t="s">
        <v>894</v>
      </c>
      <c r="G8" s="4" t="s">
        <v>910</v>
      </c>
      <c r="H8" s="4" t="s">
        <v>1254</v>
      </c>
    </row>
    <row r="9" spans="1:8" x14ac:dyDescent="0.3">
      <c r="A9" s="4" t="s">
        <v>851</v>
      </c>
      <c r="B9" s="4" t="s">
        <v>135</v>
      </c>
      <c r="C9" s="4" t="s">
        <v>733</v>
      </c>
      <c r="D9" s="4" t="s">
        <v>740</v>
      </c>
      <c r="E9" s="4" t="s">
        <v>66</v>
      </c>
      <c r="F9" s="4" t="s">
        <v>66</v>
      </c>
      <c r="G9" s="4" t="s">
        <v>66</v>
      </c>
      <c r="H9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workbookViewId="0">
      <pane ySplit="6" topLeftCell="A7" activePane="bottomLeft" state="frozen"/>
      <selection pane="bottomLeft" activeCell="G8" sqref="G8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66.21875" customWidth="1"/>
    <col min="8" max="8" width="45.33203125" customWidth="1"/>
  </cols>
  <sheetData>
    <row r="1" spans="1:8" ht="18" x14ac:dyDescent="0.35">
      <c r="A1" s="6" t="s">
        <v>70</v>
      </c>
      <c r="B1" s="2" t="s">
        <v>911</v>
      </c>
    </row>
    <row r="2" spans="1:8" x14ac:dyDescent="0.3">
      <c r="A2" s="81" t="s">
        <v>912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855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357</v>
      </c>
      <c r="B7" s="4" t="s">
        <v>116</v>
      </c>
      <c r="C7" s="4" t="s">
        <v>733</v>
      </c>
      <c r="D7" s="4" t="s">
        <v>66</v>
      </c>
      <c r="E7" s="4" t="s">
        <v>364</v>
      </c>
      <c r="F7" s="4" t="s">
        <v>845</v>
      </c>
      <c r="G7" s="4" t="s">
        <v>365</v>
      </c>
      <c r="H7" s="4" t="s">
        <v>1242</v>
      </c>
    </row>
    <row r="8" spans="1:8" x14ac:dyDescent="0.3">
      <c r="A8" s="4" t="s">
        <v>240</v>
      </c>
      <c r="B8" s="4" t="s">
        <v>857</v>
      </c>
      <c r="C8" s="4" t="s">
        <v>763</v>
      </c>
      <c r="D8" s="4" t="s">
        <v>66</v>
      </c>
      <c r="E8" s="4" t="s">
        <v>66</v>
      </c>
      <c r="F8" s="4" t="s">
        <v>66</v>
      </c>
      <c r="G8" s="4" t="s">
        <v>913</v>
      </c>
      <c r="H8" s="4"/>
    </row>
    <row r="9" spans="1:8" x14ac:dyDescent="0.3">
      <c r="A9" s="4" t="s">
        <v>242</v>
      </c>
      <c r="B9" s="4" t="s">
        <v>864</v>
      </c>
      <c r="C9" s="4" t="s">
        <v>763</v>
      </c>
      <c r="D9" s="4" t="s">
        <v>66</v>
      </c>
      <c r="E9" s="4" t="s">
        <v>66</v>
      </c>
      <c r="F9" s="4" t="s">
        <v>66</v>
      </c>
      <c r="G9" s="4" t="s">
        <v>914</v>
      </c>
      <c r="H9" s="4"/>
    </row>
    <row r="10" spans="1:8" x14ac:dyDescent="0.3">
      <c r="A10" s="4" t="s">
        <v>244</v>
      </c>
      <c r="B10" s="4" t="s">
        <v>857</v>
      </c>
      <c r="C10" s="4" t="s">
        <v>763</v>
      </c>
      <c r="D10" s="4" t="s">
        <v>66</v>
      </c>
      <c r="E10" s="4" t="s">
        <v>66</v>
      </c>
      <c r="F10" s="4" t="s">
        <v>66</v>
      </c>
      <c r="G10" s="4" t="s">
        <v>915</v>
      </c>
      <c r="H10" s="4"/>
    </row>
    <row r="11" spans="1:8" x14ac:dyDescent="0.3">
      <c r="A11" s="4" t="s">
        <v>916</v>
      </c>
      <c r="B11" s="4" t="s">
        <v>129</v>
      </c>
      <c r="C11" s="4" t="s">
        <v>763</v>
      </c>
      <c r="D11" s="4" t="s">
        <v>66</v>
      </c>
      <c r="E11" s="4" t="s">
        <v>66</v>
      </c>
      <c r="F11" s="4" t="s">
        <v>66</v>
      </c>
      <c r="G11" s="4" t="s">
        <v>917</v>
      </c>
      <c r="H11" s="4"/>
    </row>
    <row r="12" spans="1:8" x14ac:dyDescent="0.3">
      <c r="A12" s="4" t="s">
        <v>918</v>
      </c>
      <c r="B12" s="4" t="s">
        <v>129</v>
      </c>
      <c r="C12" s="4" t="s">
        <v>763</v>
      </c>
      <c r="D12" s="4" t="s">
        <v>66</v>
      </c>
      <c r="E12" s="4" t="s">
        <v>66</v>
      </c>
      <c r="F12" s="4" t="s">
        <v>66</v>
      </c>
      <c r="G12" s="4" t="s">
        <v>919</v>
      </c>
      <c r="H12" s="4"/>
    </row>
    <row r="13" spans="1:8" x14ac:dyDescent="0.3">
      <c r="A13" s="4" t="s">
        <v>920</v>
      </c>
      <c r="B13" s="4" t="s">
        <v>122</v>
      </c>
      <c r="C13" s="4" t="s">
        <v>763</v>
      </c>
      <c r="D13" s="4" t="s">
        <v>66</v>
      </c>
      <c r="E13" s="4" t="s">
        <v>66</v>
      </c>
      <c r="F13" s="4" t="s">
        <v>66</v>
      </c>
      <c r="G13" s="4" t="s">
        <v>921</v>
      </c>
      <c r="H13" s="4"/>
    </row>
    <row r="14" spans="1:8" x14ac:dyDescent="0.3">
      <c r="A14" s="4" t="s">
        <v>246</v>
      </c>
      <c r="B14" s="4" t="s">
        <v>857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922</v>
      </c>
      <c r="H14" s="4"/>
    </row>
    <row r="15" spans="1:8" x14ac:dyDescent="0.3">
      <c r="A15" s="4" t="s">
        <v>248</v>
      </c>
      <c r="B15" s="4" t="s">
        <v>923</v>
      </c>
      <c r="C15" s="4" t="s">
        <v>763</v>
      </c>
      <c r="D15" s="4" t="s">
        <v>66</v>
      </c>
      <c r="E15" s="4" t="s">
        <v>66</v>
      </c>
      <c r="F15" s="4" t="s">
        <v>66</v>
      </c>
      <c r="G15" s="4" t="s">
        <v>924</v>
      </c>
      <c r="H15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workbookViewId="0">
      <pane ySplit="6" topLeftCell="A7" activePane="bottomLeft" state="frozen"/>
      <selection pane="bottomLeft" activeCell="E43" sqref="E43"/>
    </sheetView>
  </sheetViews>
  <sheetFormatPr defaultRowHeight="14.4" x14ac:dyDescent="0.3"/>
  <cols>
    <col min="1" max="1" width="30.5546875" customWidth="1"/>
    <col min="2" max="2" width="17" customWidth="1"/>
    <col min="3" max="3" width="7" customWidth="1"/>
    <col min="4" max="4" width="20" customWidth="1"/>
    <col min="5" max="5" width="46.33203125" bestFit="1" customWidth="1"/>
    <col min="6" max="6" width="20.44140625" bestFit="1" customWidth="1"/>
    <col min="7" max="7" width="193.77734375" customWidth="1"/>
    <col min="8" max="8" width="45.33203125" customWidth="1"/>
  </cols>
  <sheetData>
    <row r="1" spans="1:8" ht="18" x14ac:dyDescent="0.35">
      <c r="A1" s="6" t="s">
        <v>71</v>
      </c>
      <c r="B1" s="2" t="s">
        <v>925</v>
      </c>
    </row>
    <row r="2" spans="1:8" x14ac:dyDescent="0.3">
      <c r="A2" s="81" t="s">
        <v>926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927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928</v>
      </c>
      <c r="E7" s="4" t="s">
        <v>366</v>
      </c>
      <c r="F7" s="4" t="s">
        <v>66</v>
      </c>
      <c r="G7" s="4" t="s">
        <v>929</v>
      </c>
      <c r="H7" s="4" t="s">
        <v>1232</v>
      </c>
    </row>
    <row r="8" spans="1:8" x14ac:dyDescent="0.3">
      <c r="A8" s="4" t="s">
        <v>930</v>
      </c>
      <c r="B8" s="4" t="s">
        <v>150</v>
      </c>
      <c r="C8" s="4" t="s">
        <v>733</v>
      </c>
      <c r="D8" s="4" t="s">
        <v>66</v>
      </c>
      <c r="E8" s="4" t="s">
        <v>1223</v>
      </c>
      <c r="F8" s="4" t="s">
        <v>66</v>
      </c>
      <c r="G8" s="4" t="s">
        <v>931</v>
      </c>
      <c r="H8" s="4" t="s">
        <v>1233</v>
      </c>
    </row>
    <row r="9" spans="1:8" x14ac:dyDescent="0.3">
      <c r="A9" s="4" t="s">
        <v>932</v>
      </c>
      <c r="B9" s="4" t="s">
        <v>933</v>
      </c>
      <c r="C9" s="4" t="s">
        <v>733</v>
      </c>
      <c r="D9" s="4" t="s">
        <v>66</v>
      </c>
      <c r="E9" s="4" t="s">
        <v>1224</v>
      </c>
      <c r="F9" s="4" t="s">
        <v>66</v>
      </c>
      <c r="G9" s="4" t="s">
        <v>934</v>
      </c>
      <c r="H9" s="4" t="s">
        <v>1255</v>
      </c>
    </row>
    <row r="10" spans="1:8" x14ac:dyDescent="0.3">
      <c r="A10" s="4" t="s">
        <v>357</v>
      </c>
      <c r="B10" s="4" t="s">
        <v>116</v>
      </c>
      <c r="C10" s="4" t="s">
        <v>733</v>
      </c>
      <c r="D10" s="4" t="s">
        <v>66</v>
      </c>
      <c r="E10" s="4" t="s">
        <v>416</v>
      </c>
      <c r="F10" s="4" t="s">
        <v>845</v>
      </c>
      <c r="G10" s="4" t="s">
        <v>935</v>
      </c>
      <c r="H10" s="4" t="s">
        <v>1245</v>
      </c>
    </row>
    <row r="11" spans="1:8" x14ac:dyDescent="0.3">
      <c r="A11" s="4" t="s">
        <v>631</v>
      </c>
      <c r="B11" s="4" t="s">
        <v>116</v>
      </c>
      <c r="C11" s="4" t="s">
        <v>763</v>
      </c>
      <c r="D11" s="4" t="s">
        <v>66</v>
      </c>
      <c r="E11" s="4" t="s">
        <v>66</v>
      </c>
      <c r="F11" s="4" t="s">
        <v>792</v>
      </c>
      <c r="G11" s="4" t="s">
        <v>936</v>
      </c>
      <c r="H11" s="4" t="s">
        <v>1237</v>
      </c>
    </row>
    <row r="12" spans="1:8" x14ac:dyDescent="0.3">
      <c r="A12" s="4" t="s">
        <v>745</v>
      </c>
      <c r="B12" s="4" t="s">
        <v>739</v>
      </c>
      <c r="C12" s="4" t="s">
        <v>733</v>
      </c>
      <c r="D12" s="4" t="s">
        <v>66</v>
      </c>
      <c r="E12" s="4" t="s">
        <v>422</v>
      </c>
      <c r="F12" s="4" t="s">
        <v>681</v>
      </c>
      <c r="G12" s="4" t="s">
        <v>937</v>
      </c>
      <c r="H12" s="4" t="s">
        <v>1234</v>
      </c>
    </row>
    <row r="13" spans="1:8" x14ac:dyDescent="0.3">
      <c r="A13" s="4" t="s">
        <v>686</v>
      </c>
      <c r="B13" s="4" t="s">
        <v>739</v>
      </c>
      <c r="C13" s="4" t="s">
        <v>733</v>
      </c>
      <c r="D13" s="4" t="s">
        <v>66</v>
      </c>
      <c r="E13" s="4" t="s">
        <v>66</v>
      </c>
      <c r="F13" s="4" t="s">
        <v>687</v>
      </c>
      <c r="G13" s="4" t="s">
        <v>938</v>
      </c>
      <c r="H13" s="4" t="s">
        <v>1256</v>
      </c>
    </row>
    <row r="14" spans="1:8" x14ac:dyDescent="0.3">
      <c r="A14" s="4" t="s">
        <v>939</v>
      </c>
      <c r="B14" s="4" t="s">
        <v>147</v>
      </c>
      <c r="C14" s="4" t="s">
        <v>763</v>
      </c>
      <c r="D14" s="4" t="s">
        <v>66</v>
      </c>
      <c r="E14" s="4" t="s">
        <v>1225</v>
      </c>
      <c r="F14" s="4" t="s">
        <v>66</v>
      </c>
      <c r="G14" s="4" t="s">
        <v>940</v>
      </c>
      <c r="H14" s="4" t="s">
        <v>1257</v>
      </c>
    </row>
    <row r="15" spans="1:8" x14ac:dyDescent="0.3">
      <c r="A15" s="4" t="s">
        <v>941</v>
      </c>
      <c r="B15" s="4" t="s">
        <v>942</v>
      </c>
      <c r="C15" s="4" t="s">
        <v>763</v>
      </c>
      <c r="D15" s="4" t="s">
        <v>66</v>
      </c>
      <c r="E15" s="4" t="s">
        <v>1226</v>
      </c>
      <c r="F15" s="4" t="s">
        <v>66</v>
      </c>
      <c r="G15" s="4" t="s">
        <v>943</v>
      </c>
      <c r="H15" s="4" t="s">
        <v>1257</v>
      </c>
    </row>
    <row r="16" spans="1:8" x14ac:dyDescent="0.3">
      <c r="A16" s="4" t="s">
        <v>944</v>
      </c>
      <c r="B16" s="4" t="s">
        <v>138</v>
      </c>
      <c r="C16" s="4" t="s">
        <v>733</v>
      </c>
      <c r="D16" s="4" t="s">
        <v>66</v>
      </c>
      <c r="E16" s="4" t="s">
        <v>66</v>
      </c>
      <c r="F16" s="4" t="s">
        <v>66</v>
      </c>
      <c r="G16" s="4" t="s">
        <v>945</v>
      </c>
      <c r="H16" s="4"/>
    </row>
    <row r="17" spans="1:8" x14ac:dyDescent="0.3">
      <c r="A17" s="4" t="s">
        <v>946</v>
      </c>
      <c r="B17" s="4" t="s">
        <v>138</v>
      </c>
      <c r="C17" s="4" t="s">
        <v>733</v>
      </c>
      <c r="D17" s="4" t="s">
        <v>66</v>
      </c>
      <c r="E17" s="4" t="s">
        <v>947</v>
      </c>
      <c r="F17" s="4" t="s">
        <v>66</v>
      </c>
      <c r="G17" s="4" t="s">
        <v>948</v>
      </c>
      <c r="H17" s="4"/>
    </row>
    <row r="18" spans="1:8" x14ac:dyDescent="0.3">
      <c r="A18" s="4" t="s">
        <v>949</v>
      </c>
      <c r="B18" s="4" t="s">
        <v>141</v>
      </c>
      <c r="C18" s="4" t="s">
        <v>733</v>
      </c>
      <c r="D18" s="4" t="s">
        <v>779</v>
      </c>
      <c r="E18" s="4" t="s">
        <v>66</v>
      </c>
      <c r="F18" s="4" t="s">
        <v>66</v>
      </c>
      <c r="G18" s="4" t="s">
        <v>950</v>
      </c>
      <c r="H18" s="4"/>
    </row>
    <row r="19" spans="1:8" x14ac:dyDescent="0.3">
      <c r="A19" s="4" t="s">
        <v>225</v>
      </c>
      <c r="B19" s="4" t="s">
        <v>820</v>
      </c>
      <c r="C19" s="4" t="s">
        <v>733</v>
      </c>
      <c r="D19" s="4" t="s">
        <v>66</v>
      </c>
      <c r="E19" s="4" t="s">
        <v>66</v>
      </c>
      <c r="F19" s="4" t="s">
        <v>66</v>
      </c>
      <c r="G19" s="4" t="s">
        <v>874</v>
      </c>
      <c r="H19" s="4"/>
    </row>
    <row r="20" spans="1:8" x14ac:dyDescent="0.3">
      <c r="A20" s="4" t="s">
        <v>218</v>
      </c>
      <c r="B20" s="4" t="s">
        <v>800</v>
      </c>
      <c r="C20" s="4" t="s">
        <v>733</v>
      </c>
      <c r="D20" s="4" t="s">
        <v>66</v>
      </c>
      <c r="E20" s="4" t="s">
        <v>66</v>
      </c>
      <c r="F20" s="4" t="s">
        <v>66</v>
      </c>
      <c r="G20" s="4" t="s">
        <v>801</v>
      </c>
      <c r="H20" s="4"/>
    </row>
    <row r="21" spans="1:8" x14ac:dyDescent="0.3">
      <c r="A21" s="4" t="s">
        <v>215</v>
      </c>
      <c r="B21" s="4" t="s">
        <v>820</v>
      </c>
      <c r="C21" s="4" t="s">
        <v>733</v>
      </c>
      <c r="D21" s="4" t="s">
        <v>66</v>
      </c>
      <c r="E21" s="4" t="s">
        <v>66</v>
      </c>
      <c r="F21" s="4" t="s">
        <v>66</v>
      </c>
      <c r="G21" s="4" t="s">
        <v>951</v>
      </c>
      <c r="H21" s="4"/>
    </row>
    <row r="22" spans="1:8" x14ac:dyDescent="0.3">
      <c r="A22" s="4" t="s">
        <v>228</v>
      </c>
      <c r="B22" s="4" t="s">
        <v>857</v>
      </c>
      <c r="C22" s="4" t="s">
        <v>733</v>
      </c>
      <c r="D22" s="4" t="s">
        <v>952</v>
      </c>
      <c r="E22" s="4" t="s">
        <v>66</v>
      </c>
      <c r="F22" s="4" t="s">
        <v>66</v>
      </c>
      <c r="G22" s="4" t="s">
        <v>953</v>
      </c>
      <c r="H22" s="4"/>
    </row>
    <row r="23" spans="1:8" x14ac:dyDescent="0.3">
      <c r="A23" s="4" t="s">
        <v>954</v>
      </c>
      <c r="B23" s="4" t="s">
        <v>739</v>
      </c>
      <c r="C23" s="4" t="s">
        <v>733</v>
      </c>
      <c r="D23" s="4" t="s">
        <v>740</v>
      </c>
      <c r="E23" s="4" t="s">
        <v>454</v>
      </c>
      <c r="F23" s="4" t="s">
        <v>66</v>
      </c>
      <c r="G23" s="4" t="s">
        <v>955</v>
      </c>
      <c r="H23" s="4"/>
    </row>
    <row r="24" spans="1:8" x14ac:dyDescent="0.3">
      <c r="A24" s="4" t="s">
        <v>669</v>
      </c>
      <c r="B24" s="4" t="s">
        <v>116</v>
      </c>
      <c r="C24" s="4" t="s">
        <v>763</v>
      </c>
      <c r="D24" s="4" t="s">
        <v>66</v>
      </c>
      <c r="E24" s="4" t="s">
        <v>66</v>
      </c>
      <c r="F24" s="4" t="s">
        <v>956</v>
      </c>
      <c r="G24" s="4" t="s">
        <v>957</v>
      </c>
      <c r="H24" s="4" t="s">
        <v>1258</v>
      </c>
    </row>
    <row r="25" spans="1:8" x14ac:dyDescent="0.3">
      <c r="A25" s="4" t="s">
        <v>958</v>
      </c>
      <c r="B25" s="4" t="s">
        <v>150</v>
      </c>
      <c r="C25" s="4" t="s">
        <v>733</v>
      </c>
      <c r="D25" s="4" t="s">
        <v>959</v>
      </c>
      <c r="E25" s="4" t="s">
        <v>451</v>
      </c>
      <c r="F25" s="4" t="s">
        <v>66</v>
      </c>
      <c r="G25" s="4" t="s">
        <v>960</v>
      </c>
      <c r="H25" s="4"/>
    </row>
    <row r="26" spans="1:8" x14ac:dyDescent="0.3">
      <c r="A26" s="4" t="s">
        <v>770</v>
      </c>
      <c r="B26" s="4" t="s">
        <v>116</v>
      </c>
      <c r="C26" s="4" t="s">
        <v>733</v>
      </c>
      <c r="D26" s="4" t="s">
        <v>771</v>
      </c>
      <c r="E26" s="4" t="s">
        <v>961</v>
      </c>
      <c r="F26" s="4" t="s">
        <v>66</v>
      </c>
      <c r="G26" s="4" t="s">
        <v>962</v>
      </c>
      <c r="H26" s="4"/>
    </row>
    <row r="27" spans="1:8" x14ac:dyDescent="0.3">
      <c r="A27" s="4" t="s">
        <v>774</v>
      </c>
      <c r="B27" s="4" t="s">
        <v>150</v>
      </c>
      <c r="C27" s="4" t="s">
        <v>733</v>
      </c>
      <c r="D27" s="4" t="s">
        <v>775</v>
      </c>
      <c r="E27" s="4" t="s">
        <v>963</v>
      </c>
      <c r="F27" s="4" t="s">
        <v>66</v>
      </c>
      <c r="G27" s="4" t="s">
        <v>964</v>
      </c>
      <c r="H27" s="4"/>
    </row>
    <row r="28" spans="1:8" x14ac:dyDescent="0.3">
      <c r="A28" s="4" t="s">
        <v>778</v>
      </c>
      <c r="B28" s="4" t="s">
        <v>141</v>
      </c>
      <c r="C28" s="4" t="s">
        <v>733</v>
      </c>
      <c r="D28" s="4" t="s">
        <v>779</v>
      </c>
      <c r="E28" s="4" t="s">
        <v>965</v>
      </c>
      <c r="F28" s="4" t="s">
        <v>66</v>
      </c>
      <c r="G28" s="4" t="s">
        <v>966</v>
      </c>
      <c r="H28" s="4"/>
    </row>
    <row r="29" spans="1:8" x14ac:dyDescent="0.3">
      <c r="A29" s="4" t="s">
        <v>478</v>
      </c>
      <c r="B29" s="4" t="s">
        <v>150</v>
      </c>
      <c r="C29" s="4" t="s">
        <v>733</v>
      </c>
      <c r="D29" s="4" t="s">
        <v>782</v>
      </c>
      <c r="E29" s="4" t="s">
        <v>967</v>
      </c>
      <c r="F29" s="4" t="s">
        <v>66</v>
      </c>
      <c r="G29" s="4" t="s">
        <v>968</v>
      </c>
      <c r="H29" s="4"/>
    </row>
    <row r="30" spans="1:8" x14ac:dyDescent="0.3">
      <c r="A30" s="4" t="s">
        <v>481</v>
      </c>
      <c r="B30" s="4" t="s">
        <v>141</v>
      </c>
      <c r="C30" s="4" t="s">
        <v>733</v>
      </c>
      <c r="D30" s="4" t="s">
        <v>779</v>
      </c>
      <c r="E30" s="4" t="s">
        <v>969</v>
      </c>
      <c r="F30" s="4" t="s">
        <v>66</v>
      </c>
      <c r="G30" s="4" t="s">
        <v>970</v>
      </c>
      <c r="H30" s="4"/>
    </row>
    <row r="31" spans="1:8" x14ac:dyDescent="0.3">
      <c r="A31" s="4" t="s">
        <v>971</v>
      </c>
      <c r="B31" s="4" t="s">
        <v>116</v>
      </c>
      <c r="C31" s="4" t="s">
        <v>763</v>
      </c>
      <c r="D31" s="4" t="s">
        <v>66</v>
      </c>
      <c r="E31" s="4" t="s">
        <v>66</v>
      </c>
      <c r="F31" s="4" t="s">
        <v>66</v>
      </c>
      <c r="G31" s="4" t="s">
        <v>972</v>
      </c>
      <c r="H31" s="4"/>
    </row>
    <row r="32" spans="1:8" x14ac:dyDescent="0.3">
      <c r="A32" s="4" t="s">
        <v>973</v>
      </c>
      <c r="B32" s="4" t="s">
        <v>150</v>
      </c>
      <c r="C32" s="4" t="s">
        <v>763</v>
      </c>
      <c r="D32" s="4" t="s">
        <v>66</v>
      </c>
      <c r="E32" s="4" t="s">
        <v>66</v>
      </c>
      <c r="F32" s="4" t="s">
        <v>66</v>
      </c>
      <c r="G32" s="4" t="s">
        <v>974</v>
      </c>
      <c r="H32" s="4"/>
    </row>
    <row r="33" spans="1:8" x14ac:dyDescent="0.3">
      <c r="A33" s="4" t="s">
        <v>975</v>
      </c>
      <c r="B33" s="4" t="s">
        <v>141</v>
      </c>
      <c r="C33" s="4" t="s">
        <v>763</v>
      </c>
      <c r="D33" s="4" t="s">
        <v>66</v>
      </c>
      <c r="E33" s="4" t="s">
        <v>66</v>
      </c>
      <c r="F33" s="4" t="s">
        <v>66</v>
      </c>
      <c r="G33" s="4" t="s">
        <v>976</v>
      </c>
      <c r="H33" s="4"/>
    </row>
    <row r="34" spans="1:8" x14ac:dyDescent="0.3">
      <c r="A34" s="4" t="s">
        <v>977</v>
      </c>
      <c r="B34" s="4" t="s">
        <v>116</v>
      </c>
      <c r="C34" s="4" t="s">
        <v>733</v>
      </c>
      <c r="D34" s="4" t="s">
        <v>766</v>
      </c>
      <c r="E34" s="4" t="s">
        <v>978</v>
      </c>
      <c r="F34" s="4" t="s">
        <v>66</v>
      </c>
      <c r="G34" s="4" t="s">
        <v>979</v>
      </c>
      <c r="H34" s="4"/>
    </row>
    <row r="35" spans="1:8" x14ac:dyDescent="0.3">
      <c r="A35" s="4" t="s">
        <v>980</v>
      </c>
      <c r="B35" s="4" t="s">
        <v>116</v>
      </c>
      <c r="C35" s="4" t="s">
        <v>733</v>
      </c>
      <c r="D35" s="4" t="s">
        <v>766</v>
      </c>
      <c r="E35" s="4" t="s">
        <v>981</v>
      </c>
      <c r="F35" s="4" t="s">
        <v>66</v>
      </c>
      <c r="G35" s="4" t="s">
        <v>982</v>
      </c>
      <c r="H35" s="4"/>
    </row>
    <row r="36" spans="1:8" x14ac:dyDescent="0.3">
      <c r="A36" s="4" t="s">
        <v>983</v>
      </c>
      <c r="B36" s="4" t="s">
        <v>116</v>
      </c>
      <c r="C36" s="4" t="s">
        <v>763</v>
      </c>
      <c r="D36" s="4" t="s">
        <v>66</v>
      </c>
      <c r="E36" s="4" t="s">
        <v>66</v>
      </c>
      <c r="F36" s="4" t="s">
        <v>66</v>
      </c>
      <c r="G36" s="4" t="s">
        <v>984</v>
      </c>
      <c r="H36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"/>
  <sheetViews>
    <sheetView workbookViewId="0">
      <pane ySplit="6" topLeftCell="A7" activePane="bottomLeft" state="frozen"/>
      <selection pane="bottomLeft" activeCell="A17" sqref="A17"/>
    </sheetView>
  </sheetViews>
  <sheetFormatPr defaultRowHeight="14.4" x14ac:dyDescent="0.3"/>
  <cols>
    <col min="1" max="1" width="22.33203125" bestFit="1" customWidth="1"/>
    <col min="2" max="2" width="36.33203125" bestFit="1" customWidth="1"/>
    <col min="3" max="3" width="4.5546875" bestFit="1" customWidth="1"/>
    <col min="4" max="4" width="11.21875" bestFit="1" customWidth="1"/>
    <col min="5" max="5" width="50.5546875" customWidth="1"/>
    <col min="6" max="6" width="19.6640625" bestFit="1" customWidth="1"/>
    <col min="7" max="7" width="87" customWidth="1"/>
    <col min="8" max="8" width="45.33203125" customWidth="1"/>
  </cols>
  <sheetData>
    <row r="1" spans="1:8" ht="18" x14ac:dyDescent="0.35">
      <c r="A1" s="6" t="s">
        <v>76</v>
      </c>
      <c r="B1" s="2" t="s">
        <v>985</v>
      </c>
    </row>
    <row r="2" spans="1:8" x14ac:dyDescent="0.3">
      <c r="A2" s="81" t="s">
        <v>986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987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369</v>
      </c>
      <c r="B7" s="4" t="s">
        <v>116</v>
      </c>
      <c r="C7" s="4" t="s">
        <v>733</v>
      </c>
      <c r="D7" s="4" t="s">
        <v>66</v>
      </c>
      <c r="E7" s="4" t="s">
        <v>368</v>
      </c>
      <c r="F7" s="4" t="s">
        <v>988</v>
      </c>
      <c r="G7" s="4" t="s">
        <v>989</v>
      </c>
      <c r="H7" s="4" t="s">
        <v>1259</v>
      </c>
    </row>
    <row r="8" spans="1:8" x14ac:dyDescent="0.3">
      <c r="A8" s="4" t="s">
        <v>990</v>
      </c>
      <c r="B8" s="4" t="s">
        <v>122</v>
      </c>
      <c r="C8" s="4" t="s">
        <v>733</v>
      </c>
      <c r="D8" s="4" t="s">
        <v>66</v>
      </c>
      <c r="E8" s="4" t="s">
        <v>66</v>
      </c>
      <c r="F8" s="4" t="s">
        <v>66</v>
      </c>
      <c r="G8" s="4" t="s">
        <v>991</v>
      </c>
      <c r="H8" s="4"/>
    </row>
    <row r="9" spans="1:8" x14ac:dyDescent="0.3">
      <c r="A9" s="4" t="s">
        <v>812</v>
      </c>
      <c r="B9" s="4" t="s">
        <v>144</v>
      </c>
      <c r="C9" s="4" t="s">
        <v>733</v>
      </c>
      <c r="D9" s="4" t="s">
        <v>66</v>
      </c>
      <c r="E9" s="4" t="s">
        <v>425</v>
      </c>
      <c r="F9" s="4" t="s">
        <v>548</v>
      </c>
      <c r="G9" s="4" t="s">
        <v>992</v>
      </c>
      <c r="H9" s="4" t="s">
        <v>1235</v>
      </c>
    </row>
    <row r="10" spans="1:8" x14ac:dyDescent="0.3">
      <c r="A10" s="4" t="s">
        <v>993</v>
      </c>
      <c r="B10" s="4" t="s">
        <v>122</v>
      </c>
      <c r="C10" s="4" t="s">
        <v>733</v>
      </c>
      <c r="D10" s="4" t="s">
        <v>766</v>
      </c>
      <c r="E10" s="4" t="s">
        <v>66</v>
      </c>
      <c r="F10" s="4" t="s">
        <v>66</v>
      </c>
      <c r="G10" s="4" t="s">
        <v>994</v>
      </c>
      <c r="H10" s="4"/>
    </row>
    <row r="11" spans="1:8" x14ac:dyDescent="0.3">
      <c r="A11" s="4" t="s">
        <v>834</v>
      </c>
      <c r="B11" s="4" t="s">
        <v>144</v>
      </c>
      <c r="C11" s="4" t="s">
        <v>733</v>
      </c>
      <c r="D11" s="4" t="s">
        <v>66</v>
      </c>
      <c r="E11" s="4" t="s">
        <v>66</v>
      </c>
      <c r="F11" s="4" t="s">
        <v>548</v>
      </c>
      <c r="G11" s="4" t="s">
        <v>995</v>
      </c>
      <c r="H11" s="4" t="s">
        <v>1235</v>
      </c>
    </row>
    <row r="12" spans="1:8" x14ac:dyDescent="0.3">
      <c r="A12" s="4" t="s">
        <v>996</v>
      </c>
      <c r="B12" s="4" t="s">
        <v>135</v>
      </c>
      <c r="C12" s="4" t="s">
        <v>733</v>
      </c>
      <c r="D12" s="4" t="s">
        <v>766</v>
      </c>
      <c r="E12" s="4" t="s">
        <v>66</v>
      </c>
      <c r="F12" s="4" t="s">
        <v>66</v>
      </c>
      <c r="G12" s="4" t="s">
        <v>997</v>
      </c>
      <c r="H12" s="4"/>
    </row>
    <row r="13" spans="1:8" x14ac:dyDescent="0.3">
      <c r="A13" s="4" t="s">
        <v>998</v>
      </c>
      <c r="B13" s="4" t="s">
        <v>122</v>
      </c>
      <c r="C13" s="4" t="s">
        <v>733</v>
      </c>
      <c r="D13" s="4" t="s">
        <v>740</v>
      </c>
      <c r="E13" s="4" t="s">
        <v>66</v>
      </c>
      <c r="F13" s="4" t="s">
        <v>66</v>
      </c>
      <c r="G13" s="4" t="s">
        <v>999</v>
      </c>
      <c r="H13" s="4"/>
    </row>
    <row r="14" spans="1:8" x14ac:dyDescent="0.3">
      <c r="A14" s="4" t="s">
        <v>849</v>
      </c>
      <c r="B14" s="4" t="s">
        <v>129</v>
      </c>
      <c r="C14" s="4" t="s">
        <v>733</v>
      </c>
      <c r="D14" s="4" t="s">
        <v>766</v>
      </c>
      <c r="E14" s="4" t="s">
        <v>457</v>
      </c>
      <c r="F14" s="4" t="s">
        <v>66</v>
      </c>
      <c r="G14" s="4" t="s">
        <v>1000</v>
      </c>
      <c r="H14" s="4"/>
    </row>
    <row r="15" spans="1:8" x14ac:dyDescent="0.3">
      <c r="A15" s="4" t="s">
        <v>1001</v>
      </c>
      <c r="B15" s="4" t="s">
        <v>122</v>
      </c>
      <c r="C15" s="4" t="s">
        <v>733</v>
      </c>
      <c r="D15" s="4" t="s">
        <v>66</v>
      </c>
      <c r="E15" s="4" t="s">
        <v>66</v>
      </c>
      <c r="F15" s="4" t="s">
        <v>66</v>
      </c>
      <c r="G15" s="4" t="s">
        <v>1002</v>
      </c>
      <c r="H15" s="4"/>
    </row>
    <row r="16" spans="1:8" x14ac:dyDescent="0.3">
      <c r="A16" s="4" t="s">
        <v>1003</v>
      </c>
      <c r="B16" s="4" t="s">
        <v>122</v>
      </c>
      <c r="C16" s="4" t="s">
        <v>733</v>
      </c>
      <c r="D16" s="4" t="s">
        <v>66</v>
      </c>
      <c r="E16" s="4" t="s">
        <v>66</v>
      </c>
      <c r="F16" s="4" t="s">
        <v>66</v>
      </c>
      <c r="G16" s="4" t="s">
        <v>1004</v>
      </c>
      <c r="H16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80</v>
      </c>
      <c r="B1" s="2" t="s">
        <v>1005</v>
      </c>
    </row>
    <row r="2" spans="1:8" x14ac:dyDescent="0.3">
      <c r="A2" s="81" t="s">
        <v>1006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1007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369</v>
      </c>
      <c r="B7" s="4" t="s">
        <v>116</v>
      </c>
      <c r="C7" s="4" t="s">
        <v>733</v>
      </c>
      <c r="D7" s="4" t="s">
        <v>66</v>
      </c>
      <c r="E7" s="4" t="s">
        <v>370</v>
      </c>
      <c r="F7" s="4" t="s">
        <v>988</v>
      </c>
      <c r="G7" s="4" t="s">
        <v>365</v>
      </c>
      <c r="H7" s="4" t="s">
        <v>1259</v>
      </c>
    </row>
    <row r="8" spans="1:8" x14ac:dyDescent="0.3">
      <c r="A8" s="4" t="s">
        <v>909</v>
      </c>
      <c r="B8" s="4" t="s">
        <v>820</v>
      </c>
      <c r="C8" s="4" t="s">
        <v>733</v>
      </c>
      <c r="D8" s="4" t="s">
        <v>66</v>
      </c>
      <c r="E8" s="4" t="s">
        <v>428</v>
      </c>
      <c r="F8" s="4" t="s">
        <v>894</v>
      </c>
      <c r="G8" s="4" t="s">
        <v>1008</v>
      </c>
      <c r="H8" s="4" t="s">
        <v>1251</v>
      </c>
    </row>
    <row r="9" spans="1:8" x14ac:dyDescent="0.3">
      <c r="A9" s="4" t="s">
        <v>1009</v>
      </c>
      <c r="B9" s="4" t="s">
        <v>122</v>
      </c>
      <c r="C9" s="4" t="s">
        <v>733</v>
      </c>
      <c r="D9" s="4" t="s">
        <v>66</v>
      </c>
      <c r="E9" s="4" t="s">
        <v>66</v>
      </c>
      <c r="F9" s="4" t="s">
        <v>66</v>
      </c>
      <c r="G9" s="4" t="s">
        <v>1010</v>
      </c>
      <c r="H9" s="4"/>
    </row>
    <row r="10" spans="1:8" x14ac:dyDescent="0.3">
      <c r="A10" s="4" t="s">
        <v>1011</v>
      </c>
      <c r="B10" s="4" t="s">
        <v>122</v>
      </c>
      <c r="C10" s="4" t="s">
        <v>733</v>
      </c>
      <c r="D10" s="4" t="s">
        <v>766</v>
      </c>
      <c r="E10" s="4" t="s">
        <v>66</v>
      </c>
      <c r="F10" s="4" t="s">
        <v>66</v>
      </c>
      <c r="G10" s="4" t="s">
        <v>1012</v>
      </c>
      <c r="H10" s="4"/>
    </row>
    <row r="11" spans="1:8" x14ac:dyDescent="0.3">
      <c r="A11" s="4" t="s">
        <v>1013</v>
      </c>
      <c r="B11" s="4" t="s">
        <v>122</v>
      </c>
      <c r="C11" s="4" t="s">
        <v>733</v>
      </c>
      <c r="D11" s="4" t="s">
        <v>66</v>
      </c>
      <c r="E11" s="4" t="s">
        <v>66</v>
      </c>
      <c r="F11" s="4" t="s">
        <v>66</v>
      </c>
      <c r="G11" s="4" t="s">
        <v>1014</v>
      </c>
      <c r="H11" s="4"/>
    </row>
    <row r="12" spans="1:8" x14ac:dyDescent="0.3">
      <c r="A12" s="4" t="s">
        <v>1015</v>
      </c>
      <c r="B12" s="4" t="s">
        <v>138</v>
      </c>
      <c r="C12" s="4" t="s">
        <v>733</v>
      </c>
      <c r="D12" s="4" t="s">
        <v>66</v>
      </c>
      <c r="E12" s="4" t="s">
        <v>66</v>
      </c>
      <c r="F12" s="4" t="s">
        <v>66</v>
      </c>
      <c r="G12" s="4" t="s">
        <v>1016</v>
      </c>
      <c r="H12" s="4"/>
    </row>
    <row r="13" spans="1:8" x14ac:dyDescent="0.3">
      <c r="A13" s="4" t="s">
        <v>1017</v>
      </c>
      <c r="B13" s="4" t="s">
        <v>129</v>
      </c>
      <c r="C13" s="4" t="s">
        <v>733</v>
      </c>
      <c r="D13" s="4" t="s">
        <v>1018</v>
      </c>
      <c r="E13" s="4" t="s">
        <v>66</v>
      </c>
      <c r="F13" s="4" t="s">
        <v>66</v>
      </c>
      <c r="G13" s="4" t="s">
        <v>1019</v>
      </c>
      <c r="H13" s="4"/>
    </row>
    <row r="14" spans="1:8" x14ac:dyDescent="0.3">
      <c r="A14" s="4" t="s">
        <v>1020</v>
      </c>
      <c r="B14" s="4" t="s">
        <v>122</v>
      </c>
      <c r="C14" s="4" t="s">
        <v>733</v>
      </c>
      <c r="D14" s="4" t="s">
        <v>66</v>
      </c>
      <c r="E14" s="4" t="s">
        <v>66</v>
      </c>
      <c r="F14" s="4" t="s">
        <v>66</v>
      </c>
      <c r="G14" s="4" t="s">
        <v>1021</v>
      </c>
      <c r="H14" s="4"/>
    </row>
    <row r="15" spans="1:8" x14ac:dyDescent="0.3">
      <c r="A15" s="4" t="s">
        <v>834</v>
      </c>
      <c r="B15" s="4" t="s">
        <v>144</v>
      </c>
      <c r="C15" s="4" t="s">
        <v>733</v>
      </c>
      <c r="D15" s="4" t="s">
        <v>66</v>
      </c>
      <c r="E15" s="4" t="s">
        <v>66</v>
      </c>
      <c r="F15" s="4" t="s">
        <v>548</v>
      </c>
      <c r="G15" s="4" t="s">
        <v>66</v>
      </c>
      <c r="H15" s="4" t="s">
        <v>1235</v>
      </c>
    </row>
    <row r="16" spans="1:8" x14ac:dyDescent="0.3">
      <c r="A16" s="4" t="s">
        <v>916</v>
      </c>
      <c r="B16" s="4" t="s">
        <v>129</v>
      </c>
      <c r="C16" s="4" t="s">
        <v>733</v>
      </c>
      <c r="D16" s="4" t="s">
        <v>766</v>
      </c>
      <c r="E16" s="4" t="s">
        <v>66</v>
      </c>
      <c r="F16" s="4" t="s">
        <v>66</v>
      </c>
      <c r="G16" s="4" t="s">
        <v>1022</v>
      </c>
      <c r="H16" s="4"/>
    </row>
    <row r="17" spans="1:8" x14ac:dyDescent="0.3">
      <c r="A17" s="4" t="s">
        <v>918</v>
      </c>
      <c r="B17" s="4" t="s">
        <v>129</v>
      </c>
      <c r="C17" s="4" t="s">
        <v>733</v>
      </c>
      <c r="D17" s="4" t="s">
        <v>766</v>
      </c>
      <c r="E17" s="4" t="s">
        <v>66</v>
      </c>
      <c r="F17" s="4" t="s">
        <v>66</v>
      </c>
      <c r="G17" s="4" t="s">
        <v>1022</v>
      </c>
      <c r="H17" s="4"/>
    </row>
    <row r="18" spans="1:8" x14ac:dyDescent="0.3">
      <c r="A18" s="4" t="s">
        <v>998</v>
      </c>
      <c r="B18" s="4" t="s">
        <v>122</v>
      </c>
      <c r="C18" s="4" t="s">
        <v>733</v>
      </c>
      <c r="D18" s="4" t="s">
        <v>740</v>
      </c>
      <c r="E18" s="4" t="s">
        <v>66</v>
      </c>
      <c r="F18" s="4" t="s">
        <v>66</v>
      </c>
      <c r="G18" s="4" t="s">
        <v>1023</v>
      </c>
      <c r="H18" s="4"/>
    </row>
    <row r="19" spans="1:8" x14ac:dyDescent="0.3">
      <c r="A19" s="4" t="s">
        <v>1003</v>
      </c>
      <c r="B19" s="4" t="s">
        <v>122</v>
      </c>
      <c r="C19" s="4" t="s">
        <v>733</v>
      </c>
      <c r="D19" s="4" t="s">
        <v>66</v>
      </c>
      <c r="E19" s="4" t="s">
        <v>66</v>
      </c>
      <c r="F19" s="4" t="s">
        <v>66</v>
      </c>
      <c r="G19" s="4" t="s">
        <v>1024</v>
      </c>
      <c r="H19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1"/>
  <sheetViews>
    <sheetView workbookViewId="0">
      <pane ySplit="6" topLeftCell="A7" activePane="bottomLeft" state="frozen"/>
      <selection pane="bottomLeft" activeCell="E49" sqref="E49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41.6640625" customWidth="1"/>
    <col min="6" max="6" width="30" customWidth="1"/>
    <col min="7" max="7" width="58" customWidth="1"/>
    <col min="8" max="8" width="45.33203125" customWidth="1"/>
  </cols>
  <sheetData>
    <row r="1" spans="1:8" ht="18" x14ac:dyDescent="0.35">
      <c r="A1" s="6" t="s">
        <v>81</v>
      </c>
      <c r="B1" s="2" t="s">
        <v>1025</v>
      </c>
    </row>
    <row r="2" spans="1:8" x14ac:dyDescent="0.3">
      <c r="A2" s="81" t="s">
        <v>1026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1027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371</v>
      </c>
      <c r="F7" s="4" t="s">
        <v>66</v>
      </c>
      <c r="G7" s="4" t="s">
        <v>66</v>
      </c>
      <c r="H7" s="4" t="s">
        <v>1232</v>
      </c>
    </row>
    <row r="8" spans="1:8" x14ac:dyDescent="0.3">
      <c r="A8" s="4" t="s">
        <v>369</v>
      </c>
      <c r="B8" s="4" t="s">
        <v>116</v>
      </c>
      <c r="C8" s="4" t="s">
        <v>733</v>
      </c>
      <c r="D8" s="4" t="s">
        <v>66</v>
      </c>
      <c r="E8" s="4" t="s">
        <v>431</v>
      </c>
      <c r="F8" s="4" t="s">
        <v>988</v>
      </c>
      <c r="G8" s="4" t="s">
        <v>66</v>
      </c>
      <c r="H8" s="4" t="s">
        <v>1260</v>
      </c>
    </row>
    <row r="9" spans="1:8" x14ac:dyDescent="0.3">
      <c r="A9" s="4" t="s">
        <v>1028</v>
      </c>
      <c r="B9" s="4" t="s">
        <v>758</v>
      </c>
      <c r="C9" s="4" t="s">
        <v>733</v>
      </c>
      <c r="D9" s="4" t="s">
        <v>66</v>
      </c>
      <c r="E9" s="4" t="s">
        <v>947</v>
      </c>
      <c r="F9" s="4" t="s">
        <v>66</v>
      </c>
      <c r="G9" s="4" t="s">
        <v>1029</v>
      </c>
      <c r="H9" s="4"/>
    </row>
    <row r="10" spans="1:8" x14ac:dyDescent="0.3">
      <c r="A10" s="4" t="s">
        <v>998</v>
      </c>
      <c r="B10" s="4" t="s">
        <v>122</v>
      </c>
      <c r="C10" s="4" t="s">
        <v>763</v>
      </c>
      <c r="D10" s="4" t="s">
        <v>66</v>
      </c>
      <c r="E10" s="4" t="s">
        <v>66</v>
      </c>
      <c r="F10" s="4" t="s">
        <v>66</v>
      </c>
      <c r="G10" s="4" t="s">
        <v>1030</v>
      </c>
      <c r="H10" s="4"/>
    </row>
    <row r="11" spans="1:8" x14ac:dyDescent="0.3">
      <c r="A11" s="4" t="s">
        <v>1031</v>
      </c>
      <c r="B11" s="4" t="s">
        <v>857</v>
      </c>
      <c r="C11" s="4" t="s">
        <v>763</v>
      </c>
      <c r="D11" s="4" t="s">
        <v>66</v>
      </c>
      <c r="E11" s="4" t="s">
        <v>66</v>
      </c>
      <c r="F11" s="4" t="s">
        <v>66</v>
      </c>
      <c r="G11" s="4" t="s">
        <v>1032</v>
      </c>
      <c r="H11" s="4"/>
    </row>
    <row r="12" spans="1:8" x14ac:dyDescent="0.3">
      <c r="A12" s="4" t="s">
        <v>1013</v>
      </c>
      <c r="B12" s="4" t="s">
        <v>122</v>
      </c>
      <c r="C12" s="4" t="s">
        <v>763</v>
      </c>
      <c r="D12" s="4" t="s">
        <v>66</v>
      </c>
      <c r="E12" s="4" t="s">
        <v>66</v>
      </c>
      <c r="F12" s="4" t="s">
        <v>66</v>
      </c>
      <c r="G12" s="4" t="s">
        <v>1033</v>
      </c>
      <c r="H12" s="4"/>
    </row>
    <row r="13" spans="1:8" x14ac:dyDescent="0.3">
      <c r="A13" s="4" t="s">
        <v>1015</v>
      </c>
      <c r="B13" s="4" t="s">
        <v>138</v>
      </c>
      <c r="C13" s="4" t="s">
        <v>763</v>
      </c>
      <c r="D13" s="4" t="s">
        <v>66</v>
      </c>
      <c r="E13" s="4" t="s">
        <v>66</v>
      </c>
      <c r="F13" s="4" t="s">
        <v>66</v>
      </c>
      <c r="G13" s="4" t="s">
        <v>66</v>
      </c>
      <c r="H13" s="4"/>
    </row>
    <row r="14" spans="1:8" x14ac:dyDescent="0.3">
      <c r="A14" s="4" t="s">
        <v>916</v>
      </c>
      <c r="B14" s="4" t="s">
        <v>129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1034</v>
      </c>
      <c r="H14" s="4"/>
    </row>
    <row r="15" spans="1:8" x14ac:dyDescent="0.3">
      <c r="A15" s="4" t="s">
        <v>849</v>
      </c>
      <c r="B15" s="4" t="s">
        <v>129</v>
      </c>
      <c r="C15" s="4" t="s">
        <v>763</v>
      </c>
      <c r="D15" s="4" t="s">
        <v>66</v>
      </c>
      <c r="E15" s="4" t="s">
        <v>66</v>
      </c>
      <c r="F15" s="4" t="s">
        <v>66</v>
      </c>
      <c r="G15" s="4" t="s">
        <v>1035</v>
      </c>
      <c r="H15" s="4"/>
    </row>
    <row r="16" spans="1:8" x14ac:dyDescent="0.3">
      <c r="A16" s="4" t="s">
        <v>918</v>
      </c>
      <c r="B16" s="4" t="s">
        <v>129</v>
      </c>
      <c r="C16" s="4" t="s">
        <v>763</v>
      </c>
      <c r="D16" s="4" t="s">
        <v>66</v>
      </c>
      <c r="E16" s="4" t="s">
        <v>66</v>
      </c>
      <c r="F16" s="4" t="s">
        <v>66</v>
      </c>
      <c r="G16" s="4" t="s">
        <v>1036</v>
      </c>
      <c r="H16" s="4"/>
    </row>
    <row r="17" spans="1:8" x14ac:dyDescent="0.3">
      <c r="A17" s="4" t="s">
        <v>1037</v>
      </c>
      <c r="B17" s="4" t="s">
        <v>122</v>
      </c>
      <c r="C17" s="4" t="s">
        <v>733</v>
      </c>
      <c r="D17" s="4" t="s">
        <v>66</v>
      </c>
      <c r="E17" s="4" t="s">
        <v>66</v>
      </c>
      <c r="F17" s="4" t="s">
        <v>66</v>
      </c>
      <c r="G17" s="4" t="s">
        <v>1038</v>
      </c>
      <c r="H17" s="4"/>
    </row>
    <row r="18" spans="1:8" x14ac:dyDescent="0.3">
      <c r="A18" s="4" t="s">
        <v>1039</v>
      </c>
      <c r="B18" s="4" t="s">
        <v>122</v>
      </c>
      <c r="C18" s="4" t="s">
        <v>733</v>
      </c>
      <c r="D18" s="4" t="s">
        <v>66</v>
      </c>
      <c r="E18" s="4" t="s">
        <v>66</v>
      </c>
      <c r="F18" s="4" t="s">
        <v>66</v>
      </c>
      <c r="G18" s="4" t="s">
        <v>1040</v>
      </c>
      <c r="H18" s="4"/>
    </row>
    <row r="19" spans="1:8" x14ac:dyDescent="0.3">
      <c r="A19" s="4" t="s">
        <v>834</v>
      </c>
      <c r="B19" s="4" t="s">
        <v>144</v>
      </c>
      <c r="C19" s="4" t="s">
        <v>733</v>
      </c>
      <c r="D19" s="4" t="s">
        <v>66</v>
      </c>
      <c r="E19" s="4" t="s">
        <v>66</v>
      </c>
      <c r="F19" s="4" t="s">
        <v>548</v>
      </c>
      <c r="G19" s="4" t="s">
        <v>66</v>
      </c>
      <c r="H19" s="4" t="s">
        <v>1235</v>
      </c>
    </row>
    <row r="20" spans="1:8" x14ac:dyDescent="0.3">
      <c r="A20" s="4" t="s">
        <v>1041</v>
      </c>
      <c r="B20" s="4" t="s">
        <v>141</v>
      </c>
      <c r="C20" s="4" t="s">
        <v>733</v>
      </c>
      <c r="D20" s="4" t="s">
        <v>779</v>
      </c>
      <c r="E20" s="4" t="s">
        <v>66</v>
      </c>
      <c r="F20" s="4" t="s">
        <v>66</v>
      </c>
      <c r="G20" s="4" t="s">
        <v>1042</v>
      </c>
      <c r="H20" s="4"/>
    </row>
    <row r="21" spans="1:8" x14ac:dyDescent="0.3">
      <c r="A21" s="4" t="s">
        <v>1043</v>
      </c>
      <c r="B21" s="4" t="s">
        <v>1044</v>
      </c>
      <c r="C21" s="4" t="s">
        <v>763</v>
      </c>
      <c r="D21" s="4" t="s">
        <v>66</v>
      </c>
      <c r="E21" s="4" t="s">
        <v>66</v>
      </c>
      <c r="F21" s="4" t="s">
        <v>66</v>
      </c>
      <c r="G21" s="4" t="s">
        <v>1045</v>
      </c>
      <c r="H21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4"/>
  <sheetViews>
    <sheetView workbookViewId="0">
      <pane ySplit="6" topLeftCell="A7" activePane="bottomLeft" state="frozen"/>
      <selection pane="bottomLeft" activeCell="C29" sqref="C29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51.5546875" customWidth="1"/>
    <col min="6" max="6" width="30" customWidth="1"/>
    <col min="7" max="7" width="58" customWidth="1"/>
    <col min="8" max="8" width="45.33203125" customWidth="1"/>
  </cols>
  <sheetData>
    <row r="1" spans="1:8" ht="18" x14ac:dyDescent="0.35">
      <c r="A1" s="6" t="s">
        <v>85</v>
      </c>
      <c r="B1" s="2" t="s">
        <v>1046</v>
      </c>
    </row>
    <row r="2" spans="1:8" x14ac:dyDescent="0.3">
      <c r="A2" s="81" t="s">
        <v>1047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807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372</v>
      </c>
      <c r="F7" s="4" t="s">
        <v>66</v>
      </c>
      <c r="G7" s="4" t="s">
        <v>66</v>
      </c>
      <c r="H7" s="4" t="s">
        <v>1232</v>
      </c>
    </row>
    <row r="8" spans="1:8" x14ac:dyDescent="0.3">
      <c r="A8" s="4" t="s">
        <v>369</v>
      </c>
      <c r="B8" s="4" t="s">
        <v>116</v>
      </c>
      <c r="C8" s="4" t="s">
        <v>733</v>
      </c>
      <c r="D8" s="4" t="s">
        <v>66</v>
      </c>
      <c r="E8" s="4" t="s">
        <v>1227</v>
      </c>
      <c r="F8" s="4" t="s">
        <v>988</v>
      </c>
      <c r="G8" s="4" t="s">
        <v>66</v>
      </c>
      <c r="H8" s="4" t="s">
        <v>1261</v>
      </c>
    </row>
    <row r="9" spans="1:8" x14ac:dyDescent="0.3">
      <c r="A9" s="4" t="s">
        <v>1028</v>
      </c>
      <c r="B9" s="4" t="s">
        <v>758</v>
      </c>
      <c r="C9" s="4" t="s">
        <v>733</v>
      </c>
      <c r="D9" s="4" t="s">
        <v>66</v>
      </c>
      <c r="E9" s="4" t="s">
        <v>1220</v>
      </c>
      <c r="F9" s="4" t="s">
        <v>66</v>
      </c>
      <c r="G9" s="4" t="s">
        <v>1048</v>
      </c>
      <c r="H9" s="4" t="s">
        <v>1233</v>
      </c>
    </row>
    <row r="10" spans="1:8" x14ac:dyDescent="0.3">
      <c r="A10" s="4" t="s">
        <v>254</v>
      </c>
      <c r="B10" s="4" t="s">
        <v>864</v>
      </c>
      <c r="C10" s="4" t="s">
        <v>733</v>
      </c>
      <c r="D10" s="4" t="s">
        <v>66</v>
      </c>
      <c r="E10" s="4" t="s">
        <v>66</v>
      </c>
      <c r="F10" s="4" t="s">
        <v>66</v>
      </c>
      <c r="G10" s="4" t="s">
        <v>1049</v>
      </c>
      <c r="H10" s="4"/>
    </row>
    <row r="11" spans="1:8" x14ac:dyDescent="0.3">
      <c r="A11" s="4" t="s">
        <v>256</v>
      </c>
      <c r="B11" s="4" t="s">
        <v>758</v>
      </c>
      <c r="C11" s="4" t="s">
        <v>733</v>
      </c>
      <c r="D11" s="4" t="s">
        <v>66</v>
      </c>
      <c r="E11" s="4" t="s">
        <v>66</v>
      </c>
      <c r="F11" s="4" t="s">
        <v>66</v>
      </c>
      <c r="G11" s="4" t="s">
        <v>1050</v>
      </c>
      <c r="H11" s="4"/>
    </row>
    <row r="12" spans="1:8" x14ac:dyDescent="0.3">
      <c r="A12" s="4" t="s">
        <v>1051</v>
      </c>
      <c r="B12" s="4" t="s">
        <v>876</v>
      </c>
      <c r="C12" s="4" t="s">
        <v>733</v>
      </c>
      <c r="D12" s="4" t="s">
        <v>66</v>
      </c>
      <c r="E12" s="4" t="s">
        <v>66</v>
      </c>
      <c r="F12" s="4" t="s">
        <v>66</v>
      </c>
      <c r="G12" s="4" t="s">
        <v>1052</v>
      </c>
      <c r="H12" s="4"/>
    </row>
    <row r="13" spans="1:8" x14ac:dyDescent="0.3">
      <c r="A13" s="4" t="s">
        <v>1053</v>
      </c>
      <c r="B13" s="4" t="s">
        <v>135</v>
      </c>
      <c r="C13" s="4" t="s">
        <v>733</v>
      </c>
      <c r="D13" s="4" t="s">
        <v>766</v>
      </c>
      <c r="E13" s="4" t="s">
        <v>66</v>
      </c>
      <c r="F13" s="4" t="s">
        <v>66</v>
      </c>
      <c r="G13" s="4" t="s">
        <v>1054</v>
      </c>
      <c r="H13" s="4"/>
    </row>
    <row r="14" spans="1:8" x14ac:dyDescent="0.3">
      <c r="A14" s="4" t="s">
        <v>745</v>
      </c>
      <c r="B14" s="4" t="s">
        <v>739</v>
      </c>
      <c r="C14" s="4" t="s">
        <v>733</v>
      </c>
      <c r="D14" s="4" t="s">
        <v>66</v>
      </c>
      <c r="E14" s="4" t="s">
        <v>66</v>
      </c>
      <c r="F14" s="4" t="s">
        <v>681</v>
      </c>
      <c r="G14" s="4" t="s">
        <v>1055</v>
      </c>
      <c r="H14" s="4" t="s">
        <v>1234</v>
      </c>
    </row>
    <row r="15" spans="1:8" x14ac:dyDescent="0.3">
      <c r="A15" s="4" t="s">
        <v>1056</v>
      </c>
      <c r="B15" s="4" t="s">
        <v>147</v>
      </c>
      <c r="C15" s="4" t="s">
        <v>733</v>
      </c>
      <c r="D15" s="4" t="s">
        <v>66</v>
      </c>
      <c r="E15" s="4" t="s">
        <v>66</v>
      </c>
      <c r="F15" s="4" t="s">
        <v>66</v>
      </c>
      <c r="G15" s="4" t="s">
        <v>1057</v>
      </c>
      <c r="H15" s="4"/>
    </row>
    <row r="16" spans="1:8" x14ac:dyDescent="0.3">
      <c r="A16" s="4" t="s">
        <v>1058</v>
      </c>
      <c r="B16" s="4" t="s">
        <v>144</v>
      </c>
      <c r="C16" s="4" t="s">
        <v>733</v>
      </c>
      <c r="D16" s="4" t="s">
        <v>66</v>
      </c>
      <c r="E16" s="4" t="s">
        <v>66</v>
      </c>
      <c r="F16" s="4" t="s">
        <v>548</v>
      </c>
      <c r="G16" s="4" t="s">
        <v>66</v>
      </c>
      <c r="H16" s="4" t="s">
        <v>1235</v>
      </c>
    </row>
    <row r="17" spans="1:8" x14ac:dyDescent="0.3">
      <c r="A17" s="4" t="s">
        <v>1059</v>
      </c>
      <c r="B17" s="4" t="s">
        <v>122</v>
      </c>
      <c r="C17" s="4" t="s">
        <v>733</v>
      </c>
      <c r="D17" s="4" t="s">
        <v>766</v>
      </c>
      <c r="E17" s="4" t="s">
        <v>66</v>
      </c>
      <c r="F17" s="4" t="s">
        <v>66</v>
      </c>
      <c r="G17" s="4" t="s">
        <v>66</v>
      </c>
      <c r="H17" s="4"/>
    </row>
    <row r="18" spans="1:8" x14ac:dyDescent="0.3">
      <c r="A18" s="4" t="s">
        <v>1060</v>
      </c>
      <c r="B18" s="4" t="s">
        <v>122</v>
      </c>
      <c r="C18" s="4" t="s">
        <v>733</v>
      </c>
      <c r="D18" s="4" t="s">
        <v>766</v>
      </c>
      <c r="E18" s="4" t="s">
        <v>66</v>
      </c>
      <c r="F18" s="4" t="s">
        <v>66</v>
      </c>
      <c r="G18" s="4" t="s">
        <v>66</v>
      </c>
      <c r="H18" s="4"/>
    </row>
    <row r="19" spans="1:8" x14ac:dyDescent="0.3">
      <c r="A19" s="4" t="s">
        <v>1061</v>
      </c>
      <c r="B19" s="4" t="s">
        <v>122</v>
      </c>
      <c r="C19" s="4" t="s">
        <v>733</v>
      </c>
      <c r="D19" s="4" t="s">
        <v>766</v>
      </c>
      <c r="E19" s="4" t="s">
        <v>66</v>
      </c>
      <c r="F19" s="4" t="s">
        <v>66</v>
      </c>
      <c r="G19" s="4" t="s">
        <v>66</v>
      </c>
      <c r="H19" s="4"/>
    </row>
    <row r="20" spans="1:8" x14ac:dyDescent="0.3">
      <c r="A20" s="4" t="s">
        <v>1062</v>
      </c>
      <c r="B20" s="4" t="s">
        <v>122</v>
      </c>
      <c r="C20" s="4" t="s">
        <v>733</v>
      </c>
      <c r="D20" s="4" t="s">
        <v>766</v>
      </c>
      <c r="E20" s="4" t="s">
        <v>66</v>
      </c>
      <c r="F20" s="4" t="s">
        <v>66</v>
      </c>
      <c r="G20" s="4" t="s">
        <v>66</v>
      </c>
      <c r="H20" s="4"/>
    </row>
    <row r="21" spans="1:8" x14ac:dyDescent="0.3">
      <c r="A21" s="4" t="s">
        <v>1063</v>
      </c>
      <c r="B21" s="4" t="s">
        <v>129</v>
      </c>
      <c r="C21" s="4" t="s">
        <v>733</v>
      </c>
      <c r="D21" s="4" t="s">
        <v>766</v>
      </c>
      <c r="E21" s="4" t="s">
        <v>66</v>
      </c>
      <c r="F21" s="4" t="s">
        <v>66</v>
      </c>
      <c r="G21" s="4" t="s">
        <v>1034</v>
      </c>
      <c r="H21" s="4"/>
    </row>
    <row r="22" spans="1:8" x14ac:dyDescent="0.3">
      <c r="A22" s="4" t="s">
        <v>1064</v>
      </c>
      <c r="B22" s="4" t="s">
        <v>122</v>
      </c>
      <c r="C22" s="4" t="s">
        <v>733</v>
      </c>
      <c r="D22" s="4" t="s">
        <v>766</v>
      </c>
      <c r="E22" s="4" t="s">
        <v>66</v>
      </c>
      <c r="F22" s="4" t="s">
        <v>66</v>
      </c>
      <c r="G22" s="4" t="s">
        <v>1065</v>
      </c>
      <c r="H22" s="4"/>
    </row>
    <row r="23" spans="1:8" x14ac:dyDescent="0.3">
      <c r="A23" s="4" t="s">
        <v>1041</v>
      </c>
      <c r="B23" s="4" t="s">
        <v>141</v>
      </c>
      <c r="C23" s="4" t="s">
        <v>733</v>
      </c>
      <c r="D23" s="4" t="s">
        <v>779</v>
      </c>
      <c r="E23" s="4" t="s">
        <v>66</v>
      </c>
      <c r="F23" s="4" t="s">
        <v>66</v>
      </c>
      <c r="G23" s="4" t="s">
        <v>66</v>
      </c>
      <c r="H23" s="4"/>
    </row>
    <row r="24" spans="1:8" x14ac:dyDescent="0.3">
      <c r="A24" s="4" t="s">
        <v>1043</v>
      </c>
      <c r="B24" s="4" t="s">
        <v>1044</v>
      </c>
      <c r="C24" s="4" t="s">
        <v>763</v>
      </c>
      <c r="D24" s="4" t="s">
        <v>66</v>
      </c>
      <c r="E24" s="4" t="s">
        <v>66</v>
      </c>
      <c r="F24" s="4" t="s">
        <v>66</v>
      </c>
      <c r="G24" s="4" t="s">
        <v>66</v>
      </c>
      <c r="H24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1"/>
  <sheetViews>
    <sheetView workbookViewId="0">
      <pane ySplit="6" topLeftCell="A7" activePane="bottomLeft" state="frozen"/>
      <selection pane="bottomLeft" activeCell="A29" sqref="A29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53.6640625" customWidth="1"/>
    <col min="6" max="6" width="42.6640625" customWidth="1"/>
    <col min="7" max="7" width="77.44140625" customWidth="1"/>
    <col min="8" max="8" width="45.33203125" customWidth="1"/>
  </cols>
  <sheetData>
    <row r="1" spans="1:8" ht="18" x14ac:dyDescent="0.35">
      <c r="A1" s="6" t="s">
        <v>86</v>
      </c>
      <c r="B1" s="2" t="s">
        <v>1066</v>
      </c>
    </row>
    <row r="2" spans="1:8" x14ac:dyDescent="0.3">
      <c r="A2" s="81" t="s">
        <v>1067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1068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373</v>
      </c>
      <c r="F7" s="4" t="s">
        <v>66</v>
      </c>
      <c r="G7" s="4" t="s">
        <v>66</v>
      </c>
      <c r="H7" s="4" t="s">
        <v>1232</v>
      </c>
    </row>
    <row r="8" spans="1:8" x14ac:dyDescent="0.3">
      <c r="A8" s="4" t="s">
        <v>369</v>
      </c>
      <c r="B8" s="4" t="s">
        <v>116</v>
      </c>
      <c r="C8" s="4" t="s">
        <v>733</v>
      </c>
      <c r="D8" s="4" t="s">
        <v>66</v>
      </c>
      <c r="E8" s="4" t="s">
        <v>1228</v>
      </c>
      <c r="F8" s="4" t="s">
        <v>988</v>
      </c>
      <c r="G8" s="4" t="s">
        <v>66</v>
      </c>
      <c r="H8" s="4" t="s">
        <v>1261</v>
      </c>
    </row>
    <row r="9" spans="1:8" x14ac:dyDescent="0.3">
      <c r="A9" s="4" t="s">
        <v>1069</v>
      </c>
      <c r="B9" s="4" t="s">
        <v>739</v>
      </c>
      <c r="C9" s="4" t="s">
        <v>733</v>
      </c>
      <c r="D9" s="4" t="s">
        <v>740</v>
      </c>
      <c r="E9" s="4" t="s">
        <v>1220</v>
      </c>
      <c r="F9" s="4" t="s">
        <v>66</v>
      </c>
      <c r="G9" s="4" t="s">
        <v>1070</v>
      </c>
      <c r="H9" s="4" t="s">
        <v>1233</v>
      </c>
    </row>
    <row r="10" spans="1:8" x14ac:dyDescent="0.3">
      <c r="A10" s="4" t="s">
        <v>689</v>
      </c>
      <c r="B10" s="4" t="s">
        <v>739</v>
      </c>
      <c r="C10" s="4" t="s">
        <v>763</v>
      </c>
      <c r="D10" s="4" t="s">
        <v>66</v>
      </c>
      <c r="E10" s="4" t="s">
        <v>66</v>
      </c>
      <c r="F10" s="4" t="s">
        <v>1071</v>
      </c>
      <c r="G10" s="4" t="s">
        <v>1072</v>
      </c>
      <c r="H10" s="4" t="s">
        <v>1262</v>
      </c>
    </row>
    <row r="11" spans="1:8" ht="28.8" x14ac:dyDescent="0.3">
      <c r="A11" s="4" t="s">
        <v>692</v>
      </c>
      <c r="B11" s="4" t="s">
        <v>739</v>
      </c>
      <c r="C11" s="4" t="s">
        <v>763</v>
      </c>
      <c r="D11" s="4" t="s">
        <v>66</v>
      </c>
      <c r="E11" s="4" t="s">
        <v>66</v>
      </c>
      <c r="F11" s="4" t="s">
        <v>1073</v>
      </c>
      <c r="G11" s="4" t="s">
        <v>1074</v>
      </c>
      <c r="H11" s="4" t="s">
        <v>1263</v>
      </c>
    </row>
    <row r="12" spans="1:8" x14ac:dyDescent="0.3">
      <c r="A12" s="4" t="s">
        <v>1075</v>
      </c>
      <c r="B12" s="4" t="s">
        <v>116</v>
      </c>
      <c r="C12" s="4" t="s">
        <v>763</v>
      </c>
      <c r="D12" s="4" t="s">
        <v>66</v>
      </c>
      <c r="E12" s="4" t="s">
        <v>66</v>
      </c>
      <c r="F12" s="4" t="s">
        <v>886</v>
      </c>
      <c r="G12" s="4" t="s">
        <v>1076</v>
      </c>
      <c r="H12" s="4" t="s">
        <v>1249</v>
      </c>
    </row>
    <row r="13" spans="1:8" x14ac:dyDescent="0.3">
      <c r="A13" s="4" t="s">
        <v>1077</v>
      </c>
      <c r="B13" s="4" t="s">
        <v>116</v>
      </c>
      <c r="C13" s="4" t="s">
        <v>763</v>
      </c>
      <c r="D13" s="4" t="s">
        <v>66</v>
      </c>
      <c r="E13" s="4" t="s">
        <v>66</v>
      </c>
      <c r="F13" s="4" t="s">
        <v>1078</v>
      </c>
      <c r="G13" s="4" t="s">
        <v>1076</v>
      </c>
      <c r="H13" s="4" t="s">
        <v>1264</v>
      </c>
    </row>
    <row r="14" spans="1:8" x14ac:dyDescent="0.3">
      <c r="A14" s="4" t="s">
        <v>1079</v>
      </c>
      <c r="B14" s="4" t="s">
        <v>116</v>
      </c>
      <c r="C14" s="4" t="s">
        <v>763</v>
      </c>
      <c r="D14" s="4" t="s">
        <v>66</v>
      </c>
      <c r="E14" s="4" t="s">
        <v>66</v>
      </c>
      <c r="F14" s="4" t="s">
        <v>1078</v>
      </c>
      <c r="G14" s="4" t="s">
        <v>1080</v>
      </c>
      <c r="H14" s="4" t="s">
        <v>1264</v>
      </c>
    </row>
    <row r="15" spans="1:8" x14ac:dyDescent="0.3">
      <c r="A15" s="4" t="s">
        <v>1081</v>
      </c>
      <c r="B15" s="4" t="s">
        <v>116</v>
      </c>
      <c r="C15" s="4" t="s">
        <v>763</v>
      </c>
      <c r="D15" s="4" t="s">
        <v>66</v>
      </c>
      <c r="E15" s="4" t="s">
        <v>66</v>
      </c>
      <c r="F15" s="4" t="s">
        <v>1078</v>
      </c>
      <c r="G15" s="4" t="s">
        <v>1080</v>
      </c>
      <c r="H15" s="4" t="s">
        <v>1264</v>
      </c>
    </row>
    <row r="16" spans="1:8" x14ac:dyDescent="0.3">
      <c r="A16" s="4" t="s">
        <v>1082</v>
      </c>
      <c r="B16" s="4" t="s">
        <v>135</v>
      </c>
      <c r="C16" s="4" t="s">
        <v>733</v>
      </c>
      <c r="D16" s="4" t="s">
        <v>766</v>
      </c>
      <c r="E16" s="4" t="s">
        <v>460</v>
      </c>
      <c r="F16" s="4" t="s">
        <v>66</v>
      </c>
      <c r="G16" s="4" t="s">
        <v>66</v>
      </c>
      <c r="H16" s="4"/>
    </row>
    <row r="17" spans="1:8" x14ac:dyDescent="0.3">
      <c r="A17" s="4" t="s">
        <v>1083</v>
      </c>
      <c r="B17" s="4" t="s">
        <v>135</v>
      </c>
      <c r="C17" s="4" t="s">
        <v>733</v>
      </c>
      <c r="D17" s="4" t="s">
        <v>766</v>
      </c>
      <c r="E17" s="4" t="s">
        <v>462</v>
      </c>
      <c r="F17" s="4" t="s">
        <v>66</v>
      </c>
      <c r="G17" s="4" t="s">
        <v>1084</v>
      </c>
      <c r="H17" s="4"/>
    </row>
    <row r="18" spans="1:8" x14ac:dyDescent="0.3">
      <c r="A18" s="4" t="s">
        <v>1085</v>
      </c>
      <c r="B18" s="4" t="s">
        <v>135</v>
      </c>
      <c r="C18" s="4" t="s">
        <v>733</v>
      </c>
      <c r="D18" s="4" t="s">
        <v>766</v>
      </c>
      <c r="E18" s="4" t="s">
        <v>464</v>
      </c>
      <c r="F18" s="4" t="s">
        <v>66</v>
      </c>
      <c r="G18" s="4" t="s">
        <v>1086</v>
      </c>
      <c r="H18" s="4"/>
    </row>
    <row r="19" spans="1:8" x14ac:dyDescent="0.3">
      <c r="A19" s="4" t="s">
        <v>1087</v>
      </c>
      <c r="B19" s="4" t="s">
        <v>751</v>
      </c>
      <c r="C19" s="4" t="s">
        <v>763</v>
      </c>
      <c r="D19" s="4" t="s">
        <v>66</v>
      </c>
      <c r="E19" s="4" t="s">
        <v>66</v>
      </c>
      <c r="F19" s="4" t="s">
        <v>66</v>
      </c>
      <c r="G19" s="4" t="s">
        <v>1088</v>
      </c>
      <c r="H19" s="4"/>
    </row>
    <row r="20" spans="1:8" x14ac:dyDescent="0.3">
      <c r="A20" s="4" t="s">
        <v>478</v>
      </c>
      <c r="B20" s="4" t="s">
        <v>150</v>
      </c>
      <c r="C20" s="4" t="s">
        <v>733</v>
      </c>
      <c r="D20" s="4" t="s">
        <v>782</v>
      </c>
      <c r="E20" s="4" t="s">
        <v>66</v>
      </c>
      <c r="F20" s="4" t="s">
        <v>66</v>
      </c>
      <c r="G20" s="4" t="s">
        <v>66</v>
      </c>
      <c r="H20" s="4"/>
    </row>
    <row r="21" spans="1:8" x14ac:dyDescent="0.3">
      <c r="A21" s="4" t="s">
        <v>481</v>
      </c>
      <c r="B21" s="4" t="s">
        <v>141</v>
      </c>
      <c r="C21" s="4" t="s">
        <v>733</v>
      </c>
      <c r="D21" s="4" t="s">
        <v>779</v>
      </c>
      <c r="E21" s="4" t="s">
        <v>66</v>
      </c>
      <c r="F21" s="4" t="s">
        <v>66</v>
      </c>
      <c r="G21" s="4" t="s">
        <v>66</v>
      </c>
      <c r="H21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7"/>
  <sheetViews>
    <sheetView workbookViewId="0">
      <pane ySplit="6" topLeftCell="A7" activePane="bottomLeft" state="frozen"/>
      <selection pane="bottomLeft" activeCell="E28" sqref="E28"/>
    </sheetView>
  </sheetViews>
  <sheetFormatPr defaultRowHeight="14.4" x14ac:dyDescent="0.3"/>
  <cols>
    <col min="1" max="1" width="36.6640625" customWidth="1"/>
    <col min="2" max="2" width="17" customWidth="1"/>
    <col min="3" max="3" width="7" customWidth="1"/>
    <col min="4" max="4" width="25.6640625" customWidth="1"/>
    <col min="5" max="5" width="57.21875" customWidth="1"/>
    <col min="6" max="6" width="30" customWidth="1"/>
    <col min="7" max="7" width="84" customWidth="1"/>
    <col min="8" max="8" width="45.33203125" customWidth="1"/>
  </cols>
  <sheetData>
    <row r="1" spans="1:8" ht="18" x14ac:dyDescent="0.35">
      <c r="A1" s="6" t="s">
        <v>89</v>
      </c>
      <c r="B1" s="2" t="s">
        <v>1089</v>
      </c>
    </row>
    <row r="2" spans="1:8" x14ac:dyDescent="0.3">
      <c r="A2" s="81" t="s">
        <v>1090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1091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374</v>
      </c>
      <c r="F7" s="4" t="s">
        <v>66</v>
      </c>
      <c r="G7" s="4" t="s">
        <v>66</v>
      </c>
      <c r="H7" s="4" t="s">
        <v>1232</v>
      </c>
    </row>
    <row r="8" spans="1:8" x14ac:dyDescent="0.3">
      <c r="A8" s="4" t="s">
        <v>369</v>
      </c>
      <c r="B8" s="4" t="s">
        <v>116</v>
      </c>
      <c r="C8" s="4" t="s">
        <v>733</v>
      </c>
      <c r="D8" s="4" t="s">
        <v>66</v>
      </c>
      <c r="E8" s="4" t="s">
        <v>1092</v>
      </c>
      <c r="F8" s="4" t="s">
        <v>988</v>
      </c>
      <c r="G8" s="4" t="s">
        <v>66</v>
      </c>
      <c r="H8" s="4" t="s">
        <v>1260</v>
      </c>
    </row>
    <row r="9" spans="1:8" x14ac:dyDescent="0.3">
      <c r="A9" s="4" t="s">
        <v>258</v>
      </c>
      <c r="B9" s="4" t="s">
        <v>758</v>
      </c>
      <c r="C9" s="4" t="s">
        <v>733</v>
      </c>
      <c r="D9" s="4" t="s">
        <v>66</v>
      </c>
      <c r="E9" s="4" t="s">
        <v>66</v>
      </c>
      <c r="F9" s="4" t="s">
        <v>66</v>
      </c>
      <c r="G9" s="4" t="s">
        <v>1093</v>
      </c>
      <c r="H9" s="4"/>
    </row>
    <row r="10" spans="1:8" x14ac:dyDescent="0.3">
      <c r="A10" s="4" t="s">
        <v>260</v>
      </c>
      <c r="B10" s="4" t="s">
        <v>857</v>
      </c>
      <c r="C10" s="4" t="s">
        <v>733</v>
      </c>
      <c r="D10" s="4" t="s">
        <v>66</v>
      </c>
      <c r="E10" s="4" t="s">
        <v>66</v>
      </c>
      <c r="F10" s="4" t="s">
        <v>66</v>
      </c>
      <c r="G10" s="4" t="s">
        <v>1094</v>
      </c>
      <c r="H10" s="4"/>
    </row>
    <row r="11" spans="1:8" x14ac:dyDescent="0.3">
      <c r="A11" s="4" t="s">
        <v>262</v>
      </c>
      <c r="B11" s="4" t="s">
        <v>864</v>
      </c>
      <c r="C11" s="4" t="s">
        <v>733</v>
      </c>
      <c r="D11" s="4" t="s">
        <v>66</v>
      </c>
      <c r="E11" s="4" t="s">
        <v>66</v>
      </c>
      <c r="F11" s="4" t="s">
        <v>66</v>
      </c>
      <c r="G11" s="4" t="s">
        <v>1095</v>
      </c>
      <c r="H11" s="4"/>
    </row>
    <row r="12" spans="1:8" x14ac:dyDescent="0.3">
      <c r="A12" s="4" t="s">
        <v>1096</v>
      </c>
      <c r="B12" s="4" t="s">
        <v>933</v>
      </c>
      <c r="C12" s="4" t="s">
        <v>763</v>
      </c>
      <c r="D12" s="4" t="s">
        <v>66</v>
      </c>
      <c r="E12" s="4" t="s">
        <v>66</v>
      </c>
      <c r="F12" s="4" t="s">
        <v>66</v>
      </c>
      <c r="G12" s="4" t="s">
        <v>1097</v>
      </c>
      <c r="H12" s="4"/>
    </row>
    <row r="13" spans="1:8" x14ac:dyDescent="0.3">
      <c r="A13" s="4" t="s">
        <v>1098</v>
      </c>
      <c r="B13" s="4" t="s">
        <v>1099</v>
      </c>
      <c r="C13" s="4" t="s">
        <v>763</v>
      </c>
      <c r="D13" s="4" t="s">
        <v>66</v>
      </c>
      <c r="E13" s="4" t="s">
        <v>66</v>
      </c>
      <c r="F13" s="4" t="s">
        <v>66</v>
      </c>
      <c r="G13" s="4" t="s">
        <v>66</v>
      </c>
      <c r="H13" s="4"/>
    </row>
    <row r="14" spans="1:8" x14ac:dyDescent="0.3">
      <c r="A14" s="4" t="s">
        <v>1100</v>
      </c>
      <c r="B14" s="4" t="s">
        <v>1099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66</v>
      </c>
      <c r="H14" s="4"/>
    </row>
    <row r="15" spans="1:8" x14ac:dyDescent="0.3">
      <c r="A15" s="4" t="s">
        <v>879</v>
      </c>
      <c r="B15" s="4" t="s">
        <v>739</v>
      </c>
      <c r="C15" s="4" t="s">
        <v>763</v>
      </c>
      <c r="D15" s="4" t="s">
        <v>66</v>
      </c>
      <c r="E15" s="4" t="s">
        <v>66</v>
      </c>
      <c r="F15" s="4" t="s">
        <v>883</v>
      </c>
      <c r="G15" s="4" t="s">
        <v>66</v>
      </c>
      <c r="H15" s="4" t="s">
        <v>1248</v>
      </c>
    </row>
    <row r="16" spans="1:8" x14ac:dyDescent="0.3">
      <c r="A16" s="4" t="s">
        <v>990</v>
      </c>
      <c r="B16" s="4" t="s">
        <v>122</v>
      </c>
      <c r="C16" s="4" t="s">
        <v>763</v>
      </c>
      <c r="D16" s="4" t="s">
        <v>66</v>
      </c>
      <c r="E16" s="4" t="s">
        <v>66</v>
      </c>
      <c r="F16" s="4" t="s">
        <v>66</v>
      </c>
      <c r="G16" s="4" t="s">
        <v>1101</v>
      </c>
      <c r="H16" s="4"/>
    </row>
    <row r="17" spans="1:8" x14ac:dyDescent="0.3">
      <c r="A17" s="4" t="s">
        <v>812</v>
      </c>
      <c r="B17" s="4" t="s">
        <v>144</v>
      </c>
      <c r="C17" s="4" t="s">
        <v>763</v>
      </c>
      <c r="D17" s="4" t="s">
        <v>66</v>
      </c>
      <c r="E17" s="4" t="s">
        <v>66</v>
      </c>
      <c r="F17" s="4" t="s">
        <v>548</v>
      </c>
      <c r="G17" s="4" t="s">
        <v>66</v>
      </c>
      <c r="H17" s="4" t="s">
        <v>1235</v>
      </c>
    </row>
    <row r="18" spans="1:8" x14ac:dyDescent="0.3">
      <c r="A18" s="4" t="s">
        <v>1102</v>
      </c>
      <c r="B18" s="4" t="s">
        <v>150</v>
      </c>
      <c r="C18" s="4" t="s">
        <v>733</v>
      </c>
      <c r="D18" s="4" t="s">
        <v>66</v>
      </c>
      <c r="E18" s="4" t="s">
        <v>66</v>
      </c>
      <c r="F18" s="4" t="s">
        <v>66</v>
      </c>
      <c r="G18" s="4" t="s">
        <v>1103</v>
      </c>
      <c r="H18" s="4"/>
    </row>
    <row r="19" spans="1:8" x14ac:dyDescent="0.3">
      <c r="A19" s="4" t="s">
        <v>1104</v>
      </c>
      <c r="B19" s="4" t="s">
        <v>150</v>
      </c>
      <c r="C19" s="4" t="s">
        <v>763</v>
      </c>
      <c r="D19" s="4" t="s">
        <v>66</v>
      </c>
      <c r="E19" s="4" t="s">
        <v>66</v>
      </c>
      <c r="F19" s="4" t="s">
        <v>66</v>
      </c>
      <c r="G19" s="4" t="s">
        <v>66</v>
      </c>
      <c r="H19" s="4"/>
    </row>
    <row r="20" spans="1:8" x14ac:dyDescent="0.3">
      <c r="A20" s="4" t="s">
        <v>1105</v>
      </c>
      <c r="B20" s="4" t="s">
        <v>1106</v>
      </c>
      <c r="C20" s="4" t="s">
        <v>763</v>
      </c>
      <c r="D20" s="4" t="s">
        <v>66</v>
      </c>
      <c r="E20" s="4" t="s">
        <v>1229</v>
      </c>
      <c r="F20" s="4" t="s">
        <v>66</v>
      </c>
      <c r="G20" s="4" t="s">
        <v>1107</v>
      </c>
      <c r="H20" s="4" t="s">
        <v>1233</v>
      </c>
    </row>
    <row r="21" spans="1:8" x14ac:dyDescent="0.3">
      <c r="A21" s="4" t="s">
        <v>1108</v>
      </c>
      <c r="B21" s="4" t="s">
        <v>864</v>
      </c>
      <c r="C21" s="4" t="s">
        <v>733</v>
      </c>
      <c r="D21" s="4" t="s">
        <v>1109</v>
      </c>
      <c r="E21" s="4" t="s">
        <v>66</v>
      </c>
      <c r="F21" s="4" t="s">
        <v>66</v>
      </c>
      <c r="G21" s="4" t="s">
        <v>1110</v>
      </c>
      <c r="H21" s="4"/>
    </row>
    <row r="22" spans="1:8" x14ac:dyDescent="0.3">
      <c r="A22" s="4" t="s">
        <v>1111</v>
      </c>
      <c r="B22" s="4" t="s">
        <v>141</v>
      </c>
      <c r="C22" s="4" t="s">
        <v>763</v>
      </c>
      <c r="D22" s="4" t="s">
        <v>66</v>
      </c>
      <c r="E22" s="4" t="s">
        <v>66</v>
      </c>
      <c r="F22" s="4" t="s">
        <v>66</v>
      </c>
      <c r="G22" s="4" t="s">
        <v>66</v>
      </c>
      <c r="H22" s="4"/>
    </row>
    <row r="23" spans="1:8" x14ac:dyDescent="0.3">
      <c r="A23" s="4" t="s">
        <v>1112</v>
      </c>
      <c r="B23" s="4" t="s">
        <v>141</v>
      </c>
      <c r="C23" s="4" t="s">
        <v>763</v>
      </c>
      <c r="D23" s="4" t="s">
        <v>66</v>
      </c>
      <c r="E23" s="4" t="s">
        <v>66</v>
      </c>
      <c r="F23" s="4" t="s">
        <v>66</v>
      </c>
      <c r="G23" s="4" t="s">
        <v>66</v>
      </c>
      <c r="H23" s="4"/>
    </row>
    <row r="24" spans="1:8" x14ac:dyDescent="0.3">
      <c r="A24" s="4" t="s">
        <v>1113</v>
      </c>
      <c r="B24" s="4" t="s">
        <v>1114</v>
      </c>
      <c r="C24" s="4" t="s">
        <v>763</v>
      </c>
      <c r="D24" s="4" t="s">
        <v>66</v>
      </c>
      <c r="E24" s="4" t="s">
        <v>66</v>
      </c>
      <c r="F24" s="4" t="s">
        <v>66</v>
      </c>
      <c r="G24" s="4" t="s">
        <v>1115</v>
      </c>
      <c r="H24" s="4"/>
    </row>
    <row r="25" spans="1:8" x14ac:dyDescent="0.3">
      <c r="A25" s="4" t="s">
        <v>1116</v>
      </c>
      <c r="B25" s="4" t="s">
        <v>1044</v>
      </c>
      <c r="C25" s="4" t="s">
        <v>763</v>
      </c>
      <c r="D25" s="4" t="s">
        <v>66</v>
      </c>
      <c r="E25" s="4" t="s">
        <v>66</v>
      </c>
      <c r="F25" s="4" t="s">
        <v>66</v>
      </c>
      <c r="G25" s="4" t="s">
        <v>1117</v>
      </c>
      <c r="H25" s="4"/>
    </row>
    <row r="26" spans="1:8" x14ac:dyDescent="0.3">
      <c r="A26" s="4" t="s">
        <v>1118</v>
      </c>
      <c r="B26" s="4" t="s">
        <v>739</v>
      </c>
      <c r="C26" s="4" t="s">
        <v>733</v>
      </c>
      <c r="D26" s="4" t="s">
        <v>766</v>
      </c>
      <c r="E26" s="4" t="s">
        <v>466</v>
      </c>
      <c r="F26" s="4" t="s">
        <v>66</v>
      </c>
      <c r="G26" s="4" t="s">
        <v>1119</v>
      </c>
      <c r="H26" s="4"/>
    </row>
    <row r="27" spans="1:8" x14ac:dyDescent="0.3">
      <c r="A27" s="4" t="s">
        <v>1120</v>
      </c>
      <c r="B27" s="4" t="s">
        <v>1121</v>
      </c>
      <c r="C27" s="4" t="s">
        <v>733</v>
      </c>
      <c r="D27" s="4" t="s">
        <v>66</v>
      </c>
      <c r="E27" s="4" t="s">
        <v>1230</v>
      </c>
      <c r="F27" s="4" t="s">
        <v>66</v>
      </c>
      <c r="G27" s="4" t="s">
        <v>1122</v>
      </c>
      <c r="H27" s="4" t="s">
        <v>1255</v>
      </c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workbookViewId="0">
      <pane ySplit="6" topLeftCell="A7" activePane="bottomLeft" state="frozen"/>
      <selection pane="bottomLeft" activeCell="D24" sqref="D24"/>
    </sheetView>
  </sheetViews>
  <sheetFormatPr defaultRowHeight="14.4" x14ac:dyDescent="0.3"/>
  <cols>
    <col min="1" max="1" width="32.6640625" bestFit="1" customWidth="1"/>
    <col min="2" max="2" width="17" customWidth="1"/>
    <col min="3" max="3" width="7" customWidth="1"/>
    <col min="4" max="4" width="26.44140625" customWidth="1"/>
    <col min="5" max="5" width="50.44140625" customWidth="1"/>
    <col min="6" max="6" width="30" customWidth="1"/>
    <col min="7" max="7" width="58" customWidth="1"/>
    <col min="8" max="8" width="45.33203125" customWidth="1"/>
  </cols>
  <sheetData>
    <row r="1" spans="1:8" ht="18" x14ac:dyDescent="0.35">
      <c r="A1" s="6" t="s">
        <v>91</v>
      </c>
      <c r="B1" s="2" t="s">
        <v>1123</v>
      </c>
    </row>
    <row r="2" spans="1:8" x14ac:dyDescent="0.3">
      <c r="A2" s="81" t="s">
        <v>1124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1125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375</v>
      </c>
      <c r="F7" s="4" t="s">
        <v>66</v>
      </c>
      <c r="G7" s="4" t="s">
        <v>66</v>
      </c>
      <c r="H7" s="4" t="s">
        <v>1232</v>
      </c>
    </row>
    <row r="8" spans="1:8" x14ac:dyDescent="0.3">
      <c r="A8" s="4" t="s">
        <v>666</v>
      </c>
      <c r="B8" s="4" t="s">
        <v>116</v>
      </c>
      <c r="C8" s="4" t="s">
        <v>733</v>
      </c>
      <c r="D8" s="4" t="s">
        <v>66</v>
      </c>
      <c r="E8" s="4" t="s">
        <v>434</v>
      </c>
      <c r="F8" s="4" t="s">
        <v>1126</v>
      </c>
      <c r="G8" s="4" t="s">
        <v>66</v>
      </c>
      <c r="H8" s="4" t="s">
        <v>1265</v>
      </c>
    </row>
    <row r="9" spans="1:8" x14ac:dyDescent="0.3">
      <c r="A9" s="4" t="s">
        <v>1127</v>
      </c>
      <c r="B9" s="4" t="s">
        <v>857</v>
      </c>
      <c r="C9" s="4" t="s">
        <v>733</v>
      </c>
      <c r="D9" s="4" t="s">
        <v>66</v>
      </c>
      <c r="E9" s="4" t="s">
        <v>66</v>
      </c>
      <c r="F9" s="4" t="s">
        <v>66</v>
      </c>
      <c r="G9" s="4" t="s">
        <v>1128</v>
      </c>
      <c r="H9" s="4"/>
    </row>
    <row r="10" spans="1:8" x14ac:dyDescent="0.3">
      <c r="A10" s="4" t="s">
        <v>1129</v>
      </c>
      <c r="B10" s="4" t="s">
        <v>933</v>
      </c>
      <c r="C10" s="4" t="s">
        <v>763</v>
      </c>
      <c r="D10" s="4" t="s">
        <v>66</v>
      </c>
      <c r="E10" s="4" t="s">
        <v>66</v>
      </c>
      <c r="F10" s="4" t="s">
        <v>66</v>
      </c>
      <c r="G10" s="4" t="s">
        <v>1130</v>
      </c>
      <c r="H10" s="4"/>
    </row>
    <row r="11" spans="1:8" x14ac:dyDescent="0.3">
      <c r="A11" s="4" t="s">
        <v>1131</v>
      </c>
      <c r="B11" s="4" t="s">
        <v>141</v>
      </c>
      <c r="C11" s="4" t="s">
        <v>733</v>
      </c>
      <c r="D11" s="4" t="s">
        <v>779</v>
      </c>
      <c r="E11" s="4" t="s">
        <v>947</v>
      </c>
      <c r="F11" s="4" t="s">
        <v>66</v>
      </c>
      <c r="G11" s="4" t="s">
        <v>66</v>
      </c>
      <c r="H11" s="4"/>
    </row>
    <row r="12" spans="1:8" x14ac:dyDescent="0.3">
      <c r="A12" s="4" t="s">
        <v>941</v>
      </c>
      <c r="B12" s="4" t="s">
        <v>942</v>
      </c>
      <c r="C12" s="4" t="s">
        <v>763</v>
      </c>
      <c r="D12" s="4" t="s">
        <v>66</v>
      </c>
      <c r="E12" s="4" t="s">
        <v>66</v>
      </c>
      <c r="F12" s="4" t="s">
        <v>66</v>
      </c>
      <c r="G12" s="4" t="s">
        <v>1132</v>
      </c>
      <c r="H12" s="4"/>
    </row>
    <row r="13" spans="1:8" x14ac:dyDescent="0.3">
      <c r="A13" s="4" t="s">
        <v>1133</v>
      </c>
      <c r="B13" s="4" t="s">
        <v>933</v>
      </c>
      <c r="C13" s="4" t="s">
        <v>763</v>
      </c>
      <c r="D13" s="4" t="s">
        <v>66</v>
      </c>
      <c r="E13" s="4" t="s">
        <v>66</v>
      </c>
      <c r="F13" s="4" t="s">
        <v>66</v>
      </c>
      <c r="G13" s="4" t="s">
        <v>66</v>
      </c>
      <c r="H13" s="4"/>
    </row>
    <row r="14" spans="1:8" x14ac:dyDescent="0.3">
      <c r="A14" s="4" t="s">
        <v>1134</v>
      </c>
      <c r="B14" s="4" t="s">
        <v>155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1135</v>
      </c>
      <c r="H14" s="4"/>
    </row>
    <row r="15" spans="1:8" x14ac:dyDescent="0.3">
      <c r="A15" s="4" t="s">
        <v>1136</v>
      </c>
      <c r="B15" s="4" t="s">
        <v>1044</v>
      </c>
      <c r="C15" s="4" t="s">
        <v>763</v>
      </c>
      <c r="D15" s="4" t="s">
        <v>66</v>
      </c>
      <c r="E15" s="4" t="s">
        <v>66</v>
      </c>
      <c r="F15" s="4" t="s">
        <v>66</v>
      </c>
      <c r="G15" s="4" t="s">
        <v>66</v>
      </c>
      <c r="H15" s="4"/>
    </row>
    <row r="16" spans="1:8" x14ac:dyDescent="0.3">
      <c r="A16" s="4" t="s">
        <v>1137</v>
      </c>
      <c r="B16" s="4" t="s">
        <v>150</v>
      </c>
      <c r="C16" s="4" t="s">
        <v>763</v>
      </c>
      <c r="D16" s="4" t="s">
        <v>66</v>
      </c>
      <c r="E16" s="4" t="s">
        <v>66</v>
      </c>
      <c r="F16" s="4" t="s">
        <v>66</v>
      </c>
      <c r="G16" s="4" t="s">
        <v>442</v>
      </c>
      <c r="H16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5" width="33.33203125" customWidth="1"/>
    <col min="6" max="6" width="30" customWidth="1"/>
    <col min="7" max="7" width="58" customWidth="1"/>
    <col min="8" max="8" width="45.33203125" customWidth="1"/>
  </cols>
  <sheetData>
    <row r="1" spans="1:8" ht="18" x14ac:dyDescent="0.35">
      <c r="A1" s="6" t="s">
        <v>93</v>
      </c>
      <c r="B1" s="2" t="s">
        <v>1138</v>
      </c>
    </row>
    <row r="2" spans="1:8" x14ac:dyDescent="0.3">
      <c r="A2" s="81" t="s">
        <v>1139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1140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348</v>
      </c>
      <c r="B7" s="4" t="s">
        <v>116</v>
      </c>
      <c r="C7" s="4" t="s">
        <v>733</v>
      </c>
      <c r="D7" s="4" t="s">
        <v>734</v>
      </c>
      <c r="E7" s="4" t="s">
        <v>376</v>
      </c>
      <c r="F7" s="4" t="s">
        <v>66</v>
      </c>
      <c r="G7" s="4" t="s">
        <v>66</v>
      </c>
      <c r="H7" s="4" t="s">
        <v>1232</v>
      </c>
    </row>
    <row r="8" spans="1:8" x14ac:dyDescent="0.3">
      <c r="A8" s="4" t="s">
        <v>1141</v>
      </c>
      <c r="B8" s="4" t="s">
        <v>876</v>
      </c>
      <c r="C8" s="4" t="s">
        <v>733</v>
      </c>
      <c r="D8" s="4" t="s">
        <v>66</v>
      </c>
      <c r="E8" s="4" t="s">
        <v>437</v>
      </c>
      <c r="F8" s="4" t="s">
        <v>66</v>
      </c>
      <c r="G8" s="4" t="s">
        <v>1142</v>
      </c>
      <c r="H8" s="4"/>
    </row>
    <row r="9" spans="1:8" x14ac:dyDescent="0.3">
      <c r="A9" s="4" t="s">
        <v>1143</v>
      </c>
      <c r="B9" s="4" t="s">
        <v>116</v>
      </c>
      <c r="C9" s="4" t="s">
        <v>733</v>
      </c>
      <c r="D9" s="4" t="s">
        <v>66</v>
      </c>
      <c r="E9" s="4" t="s">
        <v>947</v>
      </c>
      <c r="F9" s="4" t="s">
        <v>1144</v>
      </c>
      <c r="G9" s="4" t="s">
        <v>1145</v>
      </c>
      <c r="H9" s="4" t="s">
        <v>1266</v>
      </c>
    </row>
    <row r="10" spans="1:8" x14ac:dyDescent="0.3">
      <c r="A10" s="4" t="s">
        <v>1127</v>
      </c>
      <c r="B10" s="4" t="s">
        <v>876</v>
      </c>
      <c r="C10" s="4" t="s">
        <v>733</v>
      </c>
      <c r="D10" s="4" t="s">
        <v>66</v>
      </c>
      <c r="E10" s="4" t="s">
        <v>66</v>
      </c>
      <c r="F10" s="4" t="s">
        <v>66</v>
      </c>
      <c r="G10" s="4" t="s">
        <v>1146</v>
      </c>
      <c r="H10" s="4"/>
    </row>
    <row r="11" spans="1:8" x14ac:dyDescent="0.3">
      <c r="A11" s="4" t="s">
        <v>1147</v>
      </c>
      <c r="B11" s="4" t="s">
        <v>150</v>
      </c>
      <c r="C11" s="4" t="s">
        <v>763</v>
      </c>
      <c r="D11" s="4" t="s">
        <v>66</v>
      </c>
      <c r="E11" s="4" t="s">
        <v>66</v>
      </c>
      <c r="F11" s="4" t="s">
        <v>66</v>
      </c>
      <c r="G11" s="4" t="s">
        <v>1148</v>
      </c>
      <c r="H11" s="4"/>
    </row>
    <row r="12" spans="1:8" x14ac:dyDescent="0.3">
      <c r="A12" s="4" t="s">
        <v>1131</v>
      </c>
      <c r="B12" s="4" t="s">
        <v>141</v>
      </c>
      <c r="C12" s="4" t="s">
        <v>733</v>
      </c>
      <c r="D12" s="4" t="s">
        <v>779</v>
      </c>
      <c r="E12" s="4" t="s">
        <v>66</v>
      </c>
      <c r="F12" s="4" t="s">
        <v>66</v>
      </c>
      <c r="G12" s="4" t="s">
        <v>1149</v>
      </c>
      <c r="H12" s="4"/>
    </row>
    <row r="13" spans="1:8" x14ac:dyDescent="0.3">
      <c r="A13" s="4" t="s">
        <v>1150</v>
      </c>
      <c r="B13" s="4" t="s">
        <v>155</v>
      </c>
      <c r="C13" s="4" t="s">
        <v>763</v>
      </c>
      <c r="D13" s="4" t="s">
        <v>66</v>
      </c>
      <c r="E13" s="4" t="s">
        <v>66</v>
      </c>
      <c r="F13" s="4" t="s">
        <v>66</v>
      </c>
      <c r="G13" s="4" t="s">
        <v>1151</v>
      </c>
      <c r="H13" s="4"/>
    </row>
    <row r="14" spans="1:8" x14ac:dyDescent="0.3">
      <c r="A14" s="4" t="s">
        <v>1152</v>
      </c>
      <c r="B14" s="4" t="s">
        <v>155</v>
      </c>
      <c r="C14" s="4" t="s">
        <v>763</v>
      </c>
      <c r="D14" s="4" t="s">
        <v>66</v>
      </c>
      <c r="E14" s="4" t="s">
        <v>66</v>
      </c>
      <c r="F14" s="4" t="s">
        <v>66</v>
      </c>
      <c r="G14" s="4" t="s">
        <v>1153</v>
      </c>
      <c r="H14" s="4"/>
    </row>
    <row r="15" spans="1:8" x14ac:dyDescent="0.3">
      <c r="A15" s="4" t="s">
        <v>1137</v>
      </c>
      <c r="B15" s="4" t="s">
        <v>150</v>
      </c>
      <c r="C15" s="4" t="s">
        <v>763</v>
      </c>
      <c r="D15" s="4" t="s">
        <v>66</v>
      </c>
      <c r="E15" s="4" t="s">
        <v>440</v>
      </c>
      <c r="F15" s="4" t="s">
        <v>66</v>
      </c>
      <c r="G15" s="4" t="s">
        <v>1154</v>
      </c>
      <c r="H15" s="4"/>
    </row>
    <row r="16" spans="1:8" x14ac:dyDescent="0.3">
      <c r="A16" s="4" t="s">
        <v>1155</v>
      </c>
      <c r="B16" s="4" t="s">
        <v>1156</v>
      </c>
      <c r="C16" s="4" t="s">
        <v>763</v>
      </c>
      <c r="D16" s="4" t="s">
        <v>66</v>
      </c>
      <c r="E16" s="4" t="s">
        <v>66</v>
      </c>
      <c r="F16" s="4" t="s">
        <v>66</v>
      </c>
      <c r="G16" s="4" t="s">
        <v>1157</v>
      </c>
      <c r="H16" s="4"/>
    </row>
    <row r="17" spans="1:8" x14ac:dyDescent="0.3">
      <c r="A17" s="4" t="s">
        <v>1158</v>
      </c>
      <c r="B17" s="4" t="s">
        <v>857</v>
      </c>
      <c r="C17" s="4" t="s">
        <v>763</v>
      </c>
      <c r="D17" s="4" t="s">
        <v>66</v>
      </c>
      <c r="E17" s="4" t="s">
        <v>66</v>
      </c>
      <c r="F17" s="4" t="s">
        <v>66</v>
      </c>
      <c r="G17" s="4" t="s">
        <v>1159</v>
      </c>
      <c r="H17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3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30" customWidth="1"/>
    <col min="2" max="2" width="17" customWidth="1"/>
    <col min="3" max="3" width="7" customWidth="1"/>
    <col min="4" max="4" width="20" customWidth="1"/>
    <col min="5" max="6" width="30" customWidth="1"/>
    <col min="7" max="7" width="58" customWidth="1"/>
    <col min="8" max="8" width="45.33203125" customWidth="1"/>
  </cols>
  <sheetData>
    <row r="1" spans="1:8" ht="18" x14ac:dyDescent="0.35">
      <c r="A1" s="6" t="s">
        <v>96</v>
      </c>
      <c r="B1" s="2" t="s">
        <v>1160</v>
      </c>
    </row>
    <row r="2" spans="1:8" x14ac:dyDescent="0.3">
      <c r="A2" s="81" t="s">
        <v>1161</v>
      </c>
      <c r="B2" s="81"/>
      <c r="C2" s="81"/>
      <c r="D2" s="81"/>
      <c r="E2" s="81"/>
      <c r="F2" s="81"/>
      <c r="G2" s="81"/>
      <c r="H2" s="8"/>
    </row>
    <row r="4" spans="1:8" x14ac:dyDescent="0.3">
      <c r="A4" s="7" t="s">
        <v>728</v>
      </c>
      <c r="B4" s="82" t="s">
        <v>1162</v>
      </c>
      <c r="C4" s="82"/>
      <c r="D4" s="82"/>
      <c r="E4" s="82"/>
      <c r="F4" s="82"/>
      <c r="G4" s="82"/>
      <c r="H4" s="9"/>
    </row>
    <row r="6" spans="1:8" x14ac:dyDescent="0.3">
      <c r="A6" s="3" t="s">
        <v>729</v>
      </c>
      <c r="B6" s="3" t="s">
        <v>113</v>
      </c>
      <c r="C6" s="3" t="s">
        <v>730</v>
      </c>
      <c r="D6" s="3" t="s">
        <v>731</v>
      </c>
      <c r="E6" s="3" t="s">
        <v>732</v>
      </c>
      <c r="F6" s="3" t="s">
        <v>1236</v>
      </c>
      <c r="G6" s="3" t="s">
        <v>23</v>
      </c>
      <c r="H6" s="60" t="s">
        <v>1231</v>
      </c>
    </row>
    <row r="7" spans="1:8" x14ac:dyDescent="0.3">
      <c r="A7" s="4" t="s">
        <v>357</v>
      </c>
      <c r="B7" s="4" t="s">
        <v>116</v>
      </c>
      <c r="C7" s="4" t="s">
        <v>733</v>
      </c>
      <c r="D7" s="4" t="s">
        <v>66</v>
      </c>
      <c r="E7" s="4" t="s">
        <v>377</v>
      </c>
      <c r="F7" s="4" t="s">
        <v>845</v>
      </c>
      <c r="G7" s="4" t="s">
        <v>1163</v>
      </c>
      <c r="H7" s="4" t="s">
        <v>1242</v>
      </c>
    </row>
    <row r="8" spans="1:8" x14ac:dyDescent="0.3">
      <c r="A8" s="4" t="s">
        <v>218</v>
      </c>
      <c r="B8" s="4" t="s">
        <v>800</v>
      </c>
      <c r="C8" s="4" t="s">
        <v>733</v>
      </c>
      <c r="D8" s="4" t="s">
        <v>66</v>
      </c>
      <c r="E8" s="4" t="s">
        <v>847</v>
      </c>
      <c r="F8" s="4" t="s">
        <v>66</v>
      </c>
      <c r="G8" s="4" t="s">
        <v>1164</v>
      </c>
      <c r="H8" s="4" t="s">
        <v>1232</v>
      </c>
    </row>
    <row r="9" spans="1:8" x14ac:dyDescent="0.3">
      <c r="A9" s="4" t="s">
        <v>1165</v>
      </c>
      <c r="B9" s="4" t="s">
        <v>820</v>
      </c>
      <c r="C9" s="4" t="s">
        <v>733</v>
      </c>
      <c r="D9" s="4" t="s">
        <v>66</v>
      </c>
      <c r="E9" s="4" t="s">
        <v>847</v>
      </c>
      <c r="F9" s="4" t="s">
        <v>66</v>
      </c>
      <c r="G9" s="4" t="s">
        <v>1166</v>
      </c>
      <c r="H9" s="4" t="s">
        <v>1232</v>
      </c>
    </row>
    <row r="10" spans="1:8" x14ac:dyDescent="0.3">
      <c r="A10" s="4" t="s">
        <v>215</v>
      </c>
      <c r="B10" s="4" t="s">
        <v>820</v>
      </c>
      <c r="C10" s="4" t="s">
        <v>733</v>
      </c>
      <c r="D10" s="4" t="s">
        <v>66</v>
      </c>
      <c r="E10" s="4" t="s">
        <v>66</v>
      </c>
      <c r="F10" s="4" t="s">
        <v>66</v>
      </c>
      <c r="G10" s="4" t="s">
        <v>1167</v>
      </c>
      <c r="H10" s="4"/>
    </row>
    <row r="11" spans="1:8" x14ac:dyDescent="0.3">
      <c r="A11" s="4" t="s">
        <v>1168</v>
      </c>
      <c r="B11" s="4" t="s">
        <v>122</v>
      </c>
      <c r="C11" s="4" t="s">
        <v>733</v>
      </c>
      <c r="D11" s="4" t="s">
        <v>766</v>
      </c>
      <c r="E11" s="4" t="s">
        <v>66</v>
      </c>
      <c r="F11" s="4" t="s">
        <v>66</v>
      </c>
      <c r="G11" s="4" t="s">
        <v>1169</v>
      </c>
      <c r="H11" s="4"/>
    </row>
    <row r="12" spans="1:8" x14ac:dyDescent="0.3">
      <c r="A12" s="4" t="s">
        <v>1170</v>
      </c>
      <c r="B12" s="4" t="s">
        <v>116</v>
      </c>
      <c r="C12" s="4" t="s">
        <v>763</v>
      </c>
      <c r="D12" s="4" t="s">
        <v>66</v>
      </c>
      <c r="E12" s="4" t="s">
        <v>66</v>
      </c>
      <c r="F12" s="4" t="s">
        <v>988</v>
      </c>
      <c r="G12" s="4" t="s">
        <v>1171</v>
      </c>
      <c r="H12" s="4" t="s">
        <v>1260</v>
      </c>
    </row>
    <row r="13" spans="1:8" x14ac:dyDescent="0.3">
      <c r="A13" s="4" t="s">
        <v>1041</v>
      </c>
      <c r="B13" s="4" t="s">
        <v>141</v>
      </c>
      <c r="C13" s="4" t="s">
        <v>733</v>
      </c>
      <c r="D13" s="4" t="s">
        <v>779</v>
      </c>
      <c r="E13" s="4" t="s">
        <v>66</v>
      </c>
      <c r="F13" s="4" t="s">
        <v>66</v>
      </c>
      <c r="G13" s="4" t="s">
        <v>1172</v>
      </c>
      <c r="H13" s="4"/>
    </row>
  </sheetData>
  <mergeCells count="2">
    <mergeCell ref="A2:G2"/>
    <mergeCell ref="B4:G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00_Surum_Gecmisi</vt:lpstr>
      <vt:lpstr>00_Genel_Bakis</vt:lpstr>
      <vt:lpstr>00_Tip_Kurallari</vt:lpstr>
      <vt:lpstr>00_Sabitler</vt:lpstr>
      <vt:lpstr>00_DB_Nesneleri</vt:lpstr>
      <vt:lpstr>00_Constraint_Index</vt:lpstr>
      <vt:lpstr>00_Referans_Kopyalari</vt:lpstr>
      <vt:lpstr>00_Iliskiler</vt:lpstr>
      <vt:lpstr>00_UML_Diyagram</vt:lpstr>
      <vt:lpstr>DefCollateralAnnex</vt:lpstr>
      <vt:lpstr>DefCollateralAnnexProductScope</vt:lpstr>
      <vt:lpstr>DefCollateralAnnexMarginRule</vt:lpstr>
      <vt:lpstr>DefCollateral</vt:lpstr>
      <vt:lpstr>DefCollateralEligibleCurrency</vt:lpstr>
      <vt:lpstr>DefCollateralCashTerms</vt:lpstr>
      <vt:lpstr>DefCollateralSettlementMap</vt:lpstr>
      <vt:lpstr>DefCollateralSecurityRule</vt:lpstr>
      <vt:lpstr>DefCollateralSecurityISIN</vt:lpstr>
      <vt:lpstr>DefCollateralSecurityTerms</vt:lpstr>
      <vt:lpstr>TxnCollateral</vt:lpstr>
      <vt:lpstr>TxnCollateralCash</vt:lpstr>
      <vt:lpstr>TxnCollateralSecurity</vt:lpstr>
      <vt:lpstr>TxnCollateralValuation</vt:lpstr>
      <vt:lpstr>TxnCollateralLimit</vt:lpstr>
      <vt:lpstr>TxnCollateralPaymentInstruction</vt:lpstr>
      <vt:lpstr>TxnCollateralMessage</vt:lpstr>
      <vt:lpstr>TxnCollateralMessageEvent</vt:lpstr>
      <vt:lpstr>CollateralAuditLog</vt:lpstr>
      <vt:lpstr>TxnCollateralPosition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2026-10-04T16:43:48Z</dcterms:created>
  <dcterms:modified xsi:type="dcterms:W3CDTF">2026-10-07T12:05:43Z</dcterms:modified>
  <cp:category/>
</cp:coreProperties>
</file>